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260" windowHeight="13060" tabRatio="940" firstSheet="11" activeTab="13"/>
  </bookViews>
  <sheets>
    <sheet name="储能投资明细" sheetId="25" r:id="rId1"/>
    <sheet name="Sheet2" sheetId="35" r:id="rId2"/>
    <sheet name="11院概算" sheetId="28" r:id="rId3"/>
    <sheet name="Sheet1" sheetId="27" r:id="rId4"/>
    <sheet name="投资构成" sheetId="26" r:id="rId5"/>
    <sheet name="600MW管理总包造价" sheetId="37" r:id="rId6"/>
    <sheet name="边界条件" sheetId="30" r:id="rId7"/>
    <sheet name="损益表" sheetId="15" r:id="rId8"/>
    <sheet name="全部投资现金流" sheetId="1" r:id="rId9"/>
    <sheet name="资本金现金流" sheetId="2" r:id="rId10"/>
    <sheet name="资产负债表" sheetId="13" r:id="rId11"/>
    <sheet name="总成本" sheetId="7" r:id="rId12"/>
    <sheet name="假设及结论" sheetId="19" r:id="rId13"/>
    <sheet name="WACC" sheetId="39" r:id="rId14"/>
    <sheet name="敏感性分析" sheetId="23" r:id="rId15"/>
    <sheet name="11院EPC价" sheetId="29" r:id="rId16"/>
    <sheet name="决策信息模版" sheetId="31" r:id="rId17"/>
    <sheet name="决策信息模版 (2)" sheetId="38" r:id="rId18"/>
    <sheet name="决策信息1" sheetId="32" r:id="rId19"/>
    <sheet name="决策信息2" sheetId="33" r:id="rId20"/>
    <sheet name="决策信息（反算）" sheetId="34" r:id="rId21"/>
    <sheet name="销售收入" sheetId="8" r:id="rId22"/>
    <sheet name="财务计划" sheetId="14" r:id="rId23"/>
    <sheet name="还本付息" sheetId="12" r:id="rId24"/>
    <sheet name="资金筹措" sheetId="9" r:id="rId25"/>
    <sheet name="折旧" sheetId="4" r:id="rId26"/>
    <sheet name="摊销" sheetId="16" r:id="rId27"/>
    <sheet name="假设" sheetId="22" r:id="rId28"/>
    <sheet name="吉尔吉斯预提税" sheetId="36" r:id="rId29"/>
  </sheets>
  <externalReferences>
    <externalReference r:id="rId30"/>
  </externalReferences>
  <definedNames>
    <definedName name="_xlnm._FilterDatabase" localSheetId="12" hidden="1">假设及结论!#REF!</definedName>
    <definedName name="BasicPrice">假设及结论!$P$15</definedName>
    <definedName name="CapitalRatio">假设及结论!$Q$30</definedName>
    <definedName name="CirculatingFund">假设及结论!$B$33</definedName>
    <definedName name="circulatingRate">假设及结论!$N$30</definedName>
    <definedName name="CirculatingRatio">假设及结论!$N$30</definedName>
    <definedName name="ConstructPeriod">假设及结论!$G$13</definedName>
    <definedName name="CPI">假设及结论!$K$33</definedName>
    <definedName name="DebtPeriod">假设及结论!$O$30</definedName>
    <definedName name="DebtRate">假设及结论!$P$30</definedName>
    <definedName name="DebtRatio">1-假设及结论!$Q$30</definedName>
    <definedName name="DeprecitionPeriod">假设及结论!$G$33</definedName>
    <definedName name="DiscountRate">WACC!$C$19</definedName>
    <definedName name="FixedAssets">假设及结论!$C$33</definedName>
    <definedName name="OperationPeriod">假设及结论!$H$13</definedName>
    <definedName name="SubsidyLossMonths">"="</definedName>
    <definedName name="type">假设及结论!$D$13</definedName>
    <definedName name="solver_opt" localSheetId="12" hidden="1">假设及结论!#REF!</definedName>
    <definedName name="solver_typ" localSheetId="12" hidden="1">1</definedName>
    <definedName name="solver_val" localSheetId="12" hidden="1">0</definedName>
    <definedName name="solver_neg" localSheetId="12" hidden="1">1</definedName>
    <definedName name="solver_num" localSheetId="12" hidden="1">0</definedName>
    <definedName name="solver_lin" localSheetId="12" hidden="1">0</definedName>
    <definedName name="solver_eng" localSheetId="12" hidden="1">1</definedName>
    <definedName name="solver_ver" localSheetId="12" hidden="1">3</definedName>
    <definedName name="WACC">WACC!$C$19</definedName>
    <definedName name="InstalledCapacity">假设及结论!$F$13</definedName>
    <definedName name="TotalInvestment">假设及结论!$B$13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<sst xmlns="http://schemas.openxmlformats.org/spreadsheetml/2006/main" count="2585" uniqueCount="1580">
  <si>
    <t>100M/200MWh獨立儲能電站的投資構成明細</t>
  </si>
  <si>
    <t>汇率</t>
  </si>
  <si>
    <t>明细</t>
  </si>
  <si>
    <t>单价</t>
  </si>
  <si>
    <t>单位</t>
  </si>
  <si>
    <t>数量</t>
  </si>
  <si>
    <t>小计</t>
  </si>
  <si>
    <t>硬體成本</t>
  </si>
  <si>
    <t>儲能設備（BatteryEnergyStorageSystem,BESS）</t>
  </si>
  <si>
    <t>電池儲能系統（Battery）</t>
  </si>
  <si>
    <t>美元/个</t>
  </si>
  <si>
    <t>變壓器（Transformer）</t>
  </si>
  <si>
    <t>逆變器（Inverter）</t>
  </si>
  <si>
    <t>控制系統（ControlSystem）</t>
  </si>
  <si>
    <t>套</t>
  </si>
  <si>
    <t>電力轉換設備</t>
  </si>
  <si>
    <t>配電設備（Distribution equipment）</t>
  </si>
  <si>
    <t>批</t>
  </si>
  <si>
    <t>監控系統</t>
  </si>
  <si>
    <t>感測器（Sensor）</t>
  </si>
  <si>
    <t>基礎設施</t>
  </si>
  <si>
    <t>土地購置或租賃</t>
  </si>
  <si>
    <t>美元/亩</t>
  </si>
  <si>
    <t>建築物（如控制室、維護室）</t>
  </si>
  <si>
    <t>美元/平米</t>
  </si>
  <si>
    <t>冷卻系統</t>
  </si>
  <si>
    <t>項</t>
  </si>
  <si>
    <t>消防係統</t>
  </si>
  <si>
    <t>軟體成本</t>
  </si>
  <si>
    <t>控制系統軟體</t>
  </si>
  <si>
    <t>儲能控制系統（EnergyStorageManagementSystem）</t>
  </si>
  <si>
    <t>監控軟體</t>
  </si>
  <si>
    <t>SCADA系統</t>
  </si>
  <si>
    <t>數據分析軟體（DataAnalytics）</t>
  </si>
  <si>
    <t>工程成本</t>
  </si>
  <si>
    <t>設計與規劃</t>
  </si>
  <si>
    <t>工程師費用（EngineeringFee）</t>
  </si>
  <si>
    <t>项</t>
  </si>
  <si>
    <t>設計軟體費用（DesignSoftwareFee）</t>
  </si>
  <si>
    <t>建築安裝</t>
  </si>
  <si>
    <t>施工費用（ConstructionFee）</t>
  </si>
  <si>
    <t>測試與驗證</t>
  </si>
  <si>
    <t>測試設備費用（TestingEquipmentFee）</t>
  </si>
  <si>
    <t>測試人員費用（TestingPersonnelFee）</t>
  </si>
  <si>
    <t>工程成本總計</t>
  </si>
  <si>
    <t>營運成本</t>
  </si>
  <si>
    <t>維護費用</t>
  </si>
  <si>
    <t>定期維護費用（RegularMaintenanceFee）</t>
  </si>
  <si>
    <t>非預期維護費用（UnplannedMaintenanceFee）</t>
  </si>
  <si>
    <t>人工成本</t>
  </si>
  <si>
    <t>員工薪資（EmployeeSalary）</t>
  </si>
  <si>
    <t>美元/人</t>
  </si>
  <si>
    <t>訓練費用（TrainingFee）</t>
  </si>
  <si>
    <t>保險費用</t>
  </si>
  <si>
    <t>儲能設備保險（EquipmentInsurance）</t>
  </si>
  <si>
    <t>美元/mWh</t>
  </si>
  <si>
    <t>公眾責任保險（PublicLiabilityInsurance）</t>
  </si>
  <si>
    <t>100M/200MWh獨立儲能電站的總投資成本約為</t>
  </si>
  <si>
    <t>美元</t>
  </si>
  <si>
    <t>營運成本（首年）</t>
  </si>
  <si>
    <t>手续清单</t>
  </si>
  <si>
    <t>序号</t>
  </si>
  <si>
    <t>许可文件</t>
  </si>
  <si>
    <t>主管部门</t>
  </si>
  <si>
    <t>备注</t>
  </si>
  <si>
    <t>公司注册</t>
  </si>
  <si>
    <t>乌兹别克斯坦共和国司法部国家服务局</t>
  </si>
  <si>
    <t>业主需求，需当地缴纳税费，开具增值税法发票</t>
  </si>
  <si>
    <t>税务登记</t>
  </si>
  <si>
    <t>国家税务委员会税务检查机关</t>
  </si>
  <si>
    <t>临时土地使用权证（如适用）</t>
  </si>
  <si>
    <t>乌兹别克斯坦共和国国土资源、大地测量、制图和地籍委员会</t>
  </si>
  <si>
    <t>不需要。</t>
  </si>
  <si>
    <t>建筑规划任务书（如适用）</t>
  </si>
  <si>
    <t>乌兹别克斯坦共和国建设部</t>
  </si>
  <si>
    <t>不需要，由业主办理完国家能源部项目批复及内务府开具的总统令即可</t>
  </si>
  <si>
    <t>项目施工许可证（如适用）</t>
  </si>
  <si>
    <t>环境影响评估报告</t>
  </si>
  <si>
    <t>乌兹别克斯坦共和国环境专业技术中心</t>
  </si>
  <si>
    <t>需要，可以委托纳曼干项目塔什干ABREST公司办理</t>
  </si>
  <si>
    <t>危险生产设施工及运营项目许可证</t>
  </si>
  <si>
    <t>不需要</t>
  </si>
  <si>
    <t>无人驾驶民用航空器（无人机）使用许可证（如适用）</t>
  </si>
  <si>
    <t>乌兹别克斯坦共和国国家飞行安全监察局</t>
  </si>
  <si>
    <r>
      <rPr>
        <sz val="11"/>
        <color rgb="FF000000"/>
        <rFont val="宋体"/>
        <charset val="134"/>
      </rPr>
      <t>项目文档许可</t>
    </r>
    <r>
      <rPr>
        <b/>
        <sz val="11"/>
        <color rgb="FF000000"/>
        <rFont val="宋体"/>
        <charset val="134"/>
      </rPr>
      <t>(PD)</t>
    </r>
    <r>
      <rPr>
        <sz val="11"/>
        <color rgb="FF000000"/>
        <rFont val="宋体"/>
        <charset val="134"/>
      </rPr>
      <t>（如适用）</t>
    </r>
  </si>
  <si>
    <t>乌兹别克斯坦共和国建设部城市（地区）建设局建筑委员会</t>
  </si>
  <si>
    <t>工业安全规范符合确认书（如适用）</t>
  </si>
  <si>
    <t>认证机构</t>
  </si>
  <si>
    <t>危险设备安装和使用许可证（如适用）</t>
  </si>
  <si>
    <t>乌兹别克斯坦共和国国家工业安全委员会</t>
  </si>
  <si>
    <t>国家项目验收（如适用）</t>
  </si>
  <si>
    <t>并网、消纳报告批复</t>
  </si>
  <si>
    <r>
      <rPr>
        <sz val="11"/>
        <color rgb="FFFF0000"/>
        <rFont val="宋体"/>
        <charset val="134"/>
      </rPr>
      <t>国家电网</t>
    </r>
    <r>
      <rPr>
        <sz val="11"/>
        <color rgb="FFFF0000"/>
        <rFont val="Times New Roman"/>
        <charset val="134"/>
      </rPr>
      <t>NEGU</t>
    </r>
  </si>
  <si>
    <t>只需要电网批复报告即可，可以委托纳曼干项目塔什干ABREST公司办理</t>
  </si>
  <si>
    <t>外国分包、当地分包单位各等级（类别）电力、工程施工资质</t>
  </si>
  <si>
    <t>国家电网、建设部</t>
  </si>
  <si>
    <t>调试，安装，土建等分包需要资质，我司合作的分包具备以上条件</t>
  </si>
  <si>
    <t>与建设架空线和穿越公共服务设施有关的临时工程许可证</t>
  </si>
  <si>
    <t>负责电力线或电信网络、其他公用事业、等的适当地区或州当局。</t>
  </si>
  <si>
    <t>分包需要具备当地施工许可证，总包不需要，可以委托纳曼干项目塔什干ABREST公司办理</t>
  </si>
  <si>
    <t>申请海关临时监管区许可</t>
  </si>
  <si>
    <t>州海关</t>
  </si>
  <si>
    <t>需要，国际物流公司可提供</t>
  </si>
  <si>
    <t>项目设计图纸审查鉴定结论</t>
  </si>
  <si>
    <t>需要，可委托纳曼甘项目现合作的JURU设计院上报电网</t>
  </si>
  <si>
    <r>
      <rPr>
        <sz val="11"/>
        <color rgb="FFFF0000"/>
        <rFont val="宋体"/>
        <charset val="134"/>
      </rPr>
      <t>乌兹别克斯坦共和国建设部下属的</t>
    </r>
    <r>
      <rPr>
        <sz val="11"/>
        <color rgb="FFFF0000"/>
        <rFont val="Times New Roman"/>
        <charset val="134"/>
      </rPr>
      <t xml:space="preserve"> </t>
    </r>
    <r>
      <rPr>
        <sz val="11"/>
        <color rgb="FFFF0000"/>
        <rFont val="Times New Roman"/>
        <charset val="134"/>
      </rPr>
      <t>"</t>
    </r>
    <r>
      <rPr>
        <sz val="11"/>
        <color rgb="FFFF0000"/>
        <rFont val="宋体"/>
        <charset val="134"/>
      </rPr>
      <t>城市规划文件审查机构</t>
    </r>
    <r>
      <rPr>
        <sz val="11"/>
        <color rgb="FFFF0000"/>
        <rFont val="Times New Roman"/>
        <charset val="134"/>
      </rPr>
      <t>"</t>
    </r>
    <r>
      <rPr>
        <sz val="11"/>
        <color rgb="FFFF0000"/>
        <rFont val="宋体"/>
        <charset val="134"/>
      </rPr>
      <t>对项目消防安全设计文件作出的同意批复</t>
    </r>
  </si>
  <si>
    <r>
      <rPr>
        <sz val="11"/>
        <color rgb="FFFF0000"/>
        <rFont val="宋体"/>
        <charset val="134"/>
      </rPr>
      <t>建设部下属的</t>
    </r>
    <r>
      <rPr>
        <sz val="11"/>
        <color rgb="FFFF0000"/>
        <rFont val="Times New Roman"/>
        <charset val="134"/>
      </rPr>
      <t xml:space="preserve"> </t>
    </r>
    <r>
      <rPr>
        <sz val="11"/>
        <color rgb="FFFF0000"/>
        <rFont val="Times New Roman"/>
        <charset val="134"/>
      </rPr>
      <t>“</t>
    </r>
    <r>
      <rPr>
        <sz val="11"/>
        <color rgb="FFFF0000"/>
        <rFont val="宋体"/>
        <charset val="134"/>
      </rPr>
      <t>城市规划文件鉴定局</t>
    </r>
    <r>
      <rPr>
        <sz val="11"/>
        <color rgb="FFFF0000"/>
        <rFont val="Times New Roman"/>
        <charset val="134"/>
      </rPr>
      <t>”</t>
    </r>
  </si>
  <si>
    <t>与乌兹别克斯坦共和国协调项目图纸对消防标准的复合性</t>
  </si>
  <si>
    <t>乌兹别克斯坦共和国紧急情况部</t>
  </si>
  <si>
    <t>将图纸的电气部分与国家电网协调的批复函</t>
  </si>
  <si>
    <t>国家电网部门</t>
  </si>
  <si>
    <t>需要，可委托纳曼甘项目现合作的JURU设计院上报电网、塔什干ABREST公司可以协调办理</t>
  </si>
  <si>
    <t>将图纸的电气部分与国家当地能源监督局协调</t>
  </si>
  <si>
    <t>地区能源监察局</t>
  </si>
  <si>
    <t>需要，可委托纳曼甘项目现合作的JURU设计院给报电网、塔什干ABREST公司可以协调办理</t>
  </si>
  <si>
    <t>将图纸的电气部分与国家调度中心协调</t>
  </si>
  <si>
    <t>国家调度中心</t>
  </si>
  <si>
    <t>地勘报告（如适用）</t>
  </si>
  <si>
    <t>州地质、矿业于工业安全局</t>
  </si>
  <si>
    <t>需要，由核工业金华勘测设计有限公司办理</t>
  </si>
  <si>
    <t>当地地震烈度等级资料、地震安评报告以及同意批复</t>
  </si>
  <si>
    <t>科学院力学与抗震的建筑物研究所</t>
  </si>
  <si>
    <t>不需要批复</t>
  </si>
  <si>
    <r>
      <rPr>
        <sz val="11"/>
        <color rgb="FFFF0000"/>
        <rFont val="Times New Roman"/>
        <charset val="134"/>
      </rPr>
      <t>EIF</t>
    </r>
    <r>
      <rPr>
        <sz val="11"/>
        <color rgb="FFFF0000"/>
        <rFont val="宋体"/>
        <charset val="134"/>
      </rPr>
      <t>、开关站征地令</t>
    </r>
  </si>
  <si>
    <t>纳沃依州纳沃依市市政府、区政府</t>
  </si>
  <si>
    <t>需要，由核工业金华勘测设计有限公司将测绘坐标及线路批复上报至纳沃伊市 KARMANI 区政府进行申请，7个工作日公示完成，完成后进行土地租赁</t>
  </si>
  <si>
    <r>
      <rPr>
        <sz val="11"/>
        <color rgb="FF000000"/>
        <rFont val="Times New Roman"/>
        <charset val="134"/>
      </rPr>
      <t>EIF</t>
    </r>
    <r>
      <rPr>
        <sz val="11"/>
        <color rgb="FF000000"/>
        <rFont val="宋体"/>
        <charset val="134"/>
      </rPr>
      <t>、开关站征地补偿以及缴费证明</t>
    </r>
  </si>
  <si>
    <t>乌兹别克斯坦共和国建设部颁发的高空作业和维修的许可证</t>
  </si>
  <si>
    <t>建设部</t>
  </si>
  <si>
    <t>乌兹别克斯坦共和国国家地质和矿产资源委员会下属的水文地质组织颁布水文结论。</t>
  </si>
  <si>
    <t>国家地质矿产委员会</t>
  </si>
  <si>
    <t>特殊用水许可证（如适用）</t>
  </si>
  <si>
    <t>乌兹别克斯坦共和国国家生态与环境保护委员会（天然水源区取水）、乌兹别克斯坦共和国国家地质与矿产资源委员会（地下水源区取水）及乌兹别克斯坦共和国水资源管理部（人工储水区取水）各地区部门（不用打井，不用办）</t>
  </si>
  <si>
    <t>我司在当地已有打井合作公司，可以办理相关许可</t>
  </si>
  <si>
    <t>与当地天然气供应公司签署合同并获取天然气技术接入条件、使用许可</t>
  </si>
  <si>
    <t>乌兹天然气输送公司</t>
  </si>
  <si>
    <t>与当地电力供应商签订合同并获取技术条件</t>
  </si>
  <si>
    <t>地区电网局</t>
  </si>
  <si>
    <t>对外贷款协议登记（如适用）</t>
  </si>
  <si>
    <t>乌兹别克斯坦共和国中央银行</t>
  </si>
  <si>
    <t>本地服务银行通知，不需要</t>
  </si>
  <si>
    <t>取得特定货物进出口许可证</t>
  </si>
  <si>
    <t>乌兹别克斯坦共和国内阁对外贸易发展、产业、地区出口潜力信息与分析部</t>
  </si>
  <si>
    <t>乌兹别克斯坦进口设备免征关税与增值税（免税清单）</t>
  </si>
  <si>
    <t>需要，需咨询海关免税政策，免税清单。</t>
  </si>
  <si>
    <t>进口货物证明书</t>
  </si>
  <si>
    <t>乌兹别克斯坦标准认证中心</t>
  </si>
  <si>
    <t>需要，或授权认证机构，厂家出货时提供</t>
  </si>
  <si>
    <t>外籍工人工作签证与就业许可证</t>
  </si>
  <si>
    <t>外籍劳工移民局</t>
  </si>
  <si>
    <t>签证要商务签，当地公司成立后与公司签订劳务合同，建议和劳务公司签订，手续费用低。</t>
  </si>
  <si>
    <t>与当地法规相关的其他文件</t>
  </si>
  <si>
    <t>乌兹别克斯坦国家电网股份公司等</t>
  </si>
  <si>
    <t>项目建筑物不动产权登记证（项目建成后）</t>
  </si>
  <si>
    <t>州地籍委员会</t>
  </si>
  <si>
    <t>业主来办</t>
  </si>
  <si>
    <t>获得当地卫生局（食堂和宿舍）的积极批准</t>
  </si>
  <si>
    <t>卫生流行病学监察局</t>
  </si>
  <si>
    <t>电气装置调试许可</t>
  </si>
  <si>
    <t>乌兹别克斯坦国家电网股份公司</t>
  </si>
  <si>
    <t>需要，塔什干ABREST公司具备相关资质</t>
  </si>
  <si>
    <t>发电许可证</t>
  </si>
  <si>
    <t>只要并网许可证，塔什干ABREST公司可以办理</t>
  </si>
  <si>
    <t>其他</t>
  </si>
  <si>
    <t>与本项目投资、建设与运营相关，包含但不限于上述范围的其他许可及政府批准。</t>
  </si>
  <si>
    <t xml:space="preserve"> </t>
  </si>
  <si>
    <t>工程和费用名称</t>
  </si>
  <si>
    <t>费率</t>
  </si>
  <si>
    <t>建筑工程</t>
  </si>
  <si>
    <t>设备购置费</t>
  </si>
  <si>
    <t>安装工程费</t>
  </si>
  <si>
    <t>其他费用</t>
  </si>
  <si>
    <t>总值</t>
  </si>
  <si>
    <r>
      <rPr>
        <sz val="10.5"/>
        <color rgb="FF000000"/>
        <rFont val="宋体"/>
        <charset val="134"/>
      </rPr>
      <t>占固定资产投资（</t>
    </r>
    <r>
      <rPr>
        <sz val="10.5"/>
        <color rgb="FF000000"/>
        <rFont val="Times New Roman"/>
        <charset val="134"/>
      </rPr>
      <t>%</t>
    </r>
    <r>
      <rPr>
        <sz val="10.5"/>
        <color rgb="FF000000"/>
        <rFont val="宋体"/>
        <charset val="134"/>
      </rPr>
      <t>）</t>
    </r>
  </si>
  <si>
    <t>a</t>
  </si>
  <si>
    <t>b</t>
  </si>
  <si>
    <t>c</t>
  </si>
  <si>
    <t>工程费用</t>
  </si>
  <si>
    <t>设备费</t>
  </si>
  <si>
    <t>1.1.1</t>
  </si>
  <si>
    <t>光伏设备及安装工程</t>
  </si>
  <si>
    <t>1.1.2</t>
  </si>
  <si>
    <t>电缆线路及安装工程</t>
  </si>
  <si>
    <t>1.1.3</t>
  </si>
  <si>
    <r>
      <rPr>
        <sz val="10.5"/>
        <color rgb="FF000000"/>
        <rFont val="宋体"/>
        <charset val="134"/>
      </rPr>
      <t>其他设备</t>
    </r>
    <r>
      <rPr>
        <sz val="10.5"/>
        <color rgb="FF000000"/>
        <rFont val="宋体"/>
        <charset val="134"/>
      </rPr>
      <t>及安装工程</t>
    </r>
  </si>
  <si>
    <t>1.2.1</t>
  </si>
  <si>
    <t>发电场基础工程</t>
  </si>
  <si>
    <t>工程建设其他费用</t>
  </si>
  <si>
    <t>项目建设用地费</t>
  </si>
  <si>
    <t>项目建设管理费</t>
  </si>
  <si>
    <t>2.2.1</t>
  </si>
  <si>
    <t>工程前期费</t>
  </si>
  <si>
    <t>2.2.2</t>
  </si>
  <si>
    <t>工程建设管理费（Based：a+b+c)</t>
  </si>
  <si>
    <t>2.2.3</t>
  </si>
  <si>
    <t>工程建设监理费（Based：a+b+c)</t>
  </si>
  <si>
    <t>2.2.4</t>
  </si>
  <si>
    <t>咨询服务费（Based：a+b+c)</t>
  </si>
  <si>
    <t>2.2.5</t>
  </si>
  <si>
    <t>项目技术经济评审费（Based：a+b+c)</t>
  </si>
  <si>
    <t>2.2.6</t>
  </si>
  <si>
    <t>工程质量检查检测费（Based：a+c)</t>
  </si>
  <si>
    <t>2.2.7</t>
  </si>
  <si>
    <t>项目验收费（Based：a+b+c)</t>
  </si>
  <si>
    <t>2.2.8</t>
  </si>
  <si>
    <t>工程保险费（Based：a+b+c)</t>
  </si>
  <si>
    <t>2.2.9</t>
  </si>
  <si>
    <t>土地补偿款</t>
  </si>
  <si>
    <t>生产准备费（Based：b)</t>
  </si>
  <si>
    <t>勘察费设计费（Based：a+b+c)</t>
  </si>
  <si>
    <t>预备费</t>
  </si>
  <si>
    <t>基本预备费（Based：a+b+c)</t>
  </si>
  <si>
    <t>建设投资合计</t>
  </si>
  <si>
    <t>建设期利息</t>
  </si>
  <si>
    <t>固定资产投资合计</t>
  </si>
  <si>
    <r>
      <rPr>
        <sz val="10.5"/>
        <color rgb="FF000000"/>
        <rFont val="宋体"/>
        <charset val="134"/>
      </rPr>
      <t>单位千瓦的静态投资（元</t>
    </r>
    <r>
      <rPr>
        <sz val="10.5"/>
        <color rgb="FF000000"/>
        <rFont val="Times New Roman"/>
        <charset val="134"/>
      </rPr>
      <t>/</t>
    </r>
    <r>
      <rPr>
        <sz val="10.5"/>
        <color rgb="FF000000"/>
        <rFont val="宋体"/>
        <charset val="134"/>
      </rPr>
      <t>千瓦）</t>
    </r>
  </si>
  <si>
    <r>
      <rPr>
        <sz val="10.5"/>
        <color rgb="FF000000"/>
        <rFont val="宋体"/>
        <charset val="134"/>
      </rPr>
      <t>单位千瓦的动态投资（元</t>
    </r>
    <r>
      <rPr>
        <sz val="10.5"/>
        <color rgb="FF000000"/>
        <rFont val="Times New Roman"/>
        <charset val="134"/>
      </rPr>
      <t>/</t>
    </r>
    <r>
      <rPr>
        <sz val="10.5"/>
        <color rgb="FF000000"/>
        <rFont val="宋体"/>
        <charset val="134"/>
      </rPr>
      <t>千瓦）</t>
    </r>
  </si>
  <si>
    <t>流动资金</t>
  </si>
  <si>
    <t>总投资合计</t>
  </si>
  <si>
    <r>
      <rPr>
        <sz val="10.5"/>
        <color rgb="FF000000"/>
        <rFont val="宋体"/>
        <charset val="134"/>
      </rPr>
      <t>比例</t>
    </r>
    <r>
      <rPr>
        <sz val="10.5"/>
        <color rgb="FF000000"/>
        <rFont val="Times New Roman"/>
        <charset val="134"/>
      </rPr>
      <t>(%)</t>
    </r>
  </si>
  <si>
    <t>光伏设备购置费明细</t>
  </si>
  <si>
    <t>设备名称</t>
  </si>
  <si>
    <t>数量/规格</t>
  </si>
  <si>
    <t>单价（元/单位）</t>
  </si>
  <si>
    <t>总价（元）</t>
  </si>
  <si>
    <t>光伏组件</t>
  </si>
  <si>
    <t>单块组件功率720W</t>
  </si>
  <si>
    <t>逆变器</t>
  </si>
  <si>
    <t>100 台（8MW）</t>
  </si>
  <si>
    <t>单台逆变器容量8MW</t>
  </si>
  <si>
    <t>汇流箱</t>
  </si>
  <si>
    <t>400 个（2MW）</t>
  </si>
  <si>
    <t>单个汇流箱容量2MW</t>
  </si>
  <si>
    <t>支架</t>
  </si>
  <si>
    <t>包括地梁、立柱、横梁等</t>
  </si>
  <si>
    <t>监控系统</t>
  </si>
  <si>
    <t>包括摄像头、数据采集器等</t>
  </si>
  <si>
    <t>避雷系统</t>
  </si>
  <si>
    <t>包括避雷针、避雷带等</t>
  </si>
  <si>
    <t>并网设备</t>
  </si>
  <si>
    <t>包括并网箱、断路器等</t>
  </si>
  <si>
    <t>电缆</t>
  </si>
  <si>
    <t>包括直埋电缆、桥架电缆等</t>
  </si>
  <si>
    <t>合计</t>
  </si>
  <si>
    <t>-</t>
  </si>
  <si>
    <r>
      <rPr>
        <b/>
        <sz val="10.5"/>
        <color rgb="FF131313"/>
        <rFont val="Arial"/>
        <charset val="134"/>
      </rPr>
      <t>500kV</t>
    </r>
    <r>
      <rPr>
        <b/>
        <sz val="10.5"/>
        <color rgb="FF131313"/>
        <rFont val="宋体"/>
        <charset val="134"/>
      </rPr>
      <t>升压站设备购置费明细</t>
    </r>
  </si>
  <si>
    <t>主变压器（500kV）</t>
  </si>
  <si>
    <t>2台</t>
  </si>
  <si>
    <t>15,000,000.00 元/台</t>
  </si>
  <si>
    <t>500kV主变压器</t>
  </si>
  <si>
    <t>高压断路器</t>
  </si>
  <si>
    <t>4台</t>
  </si>
  <si>
    <t>1,500,000.00 元/台</t>
  </si>
  <si>
    <t>500kV高压断路器</t>
  </si>
  <si>
    <t>隔离开关</t>
  </si>
  <si>
    <t>8台</t>
  </si>
  <si>
    <t>500,000.00 元/台</t>
  </si>
  <si>
    <t>500kV隔离开关</t>
  </si>
  <si>
    <t>避雷器</t>
  </si>
  <si>
    <t>10个</t>
  </si>
  <si>
    <t>200,000.00 元/个</t>
  </si>
  <si>
    <t>500kV避雷器</t>
  </si>
  <si>
    <t>互感器</t>
  </si>
  <si>
    <t>300,000.00 元/个</t>
  </si>
  <si>
    <t>500kV电流/电压互感器</t>
  </si>
  <si>
    <t>保护装置</t>
  </si>
  <si>
    <t>1套</t>
  </si>
  <si>
    <t>2,000,000.00 元/套</t>
  </si>
  <si>
    <t>500kV保护装置</t>
  </si>
  <si>
    <t>控制系统</t>
  </si>
  <si>
    <t>1,500,000.00 元/套</t>
  </si>
  <si>
    <t>500kV控制系统</t>
  </si>
  <si>
    <t>1,000,000.00 元/套</t>
  </si>
  <si>
    <t>500kV监控系统</t>
  </si>
  <si>
    <t>消防系统</t>
  </si>
  <si>
    <t>500,000.00 元/套</t>
  </si>
  <si>
    <t>500kV消防系统</t>
  </si>
  <si>
    <t>通信系统</t>
  </si>
  <si>
    <t>800,000.00 元/套</t>
  </si>
  <si>
    <t>500kV通信系统</t>
  </si>
  <si>
    <t>土建工程概算明细</t>
  </si>
  <si>
    <t>工程内容</t>
  </si>
  <si>
    <t>场地平整</t>
  </si>
  <si>
    <t>12,327,000 m²</t>
  </si>
  <si>
    <t>15.00 元/m²</t>
  </si>
  <si>
    <t>包括清理杂物、平整土地等</t>
  </si>
  <si>
    <t>基础工程</t>
  </si>
  <si>
    <t>1,083,334 个桩基础</t>
  </si>
  <si>
    <t>800.00 元/个</t>
  </si>
  <si>
    <t>包括混凝土、钢筋等材料</t>
  </si>
  <si>
    <t>道路硬化</t>
  </si>
  <si>
    <t>500,000 m²</t>
  </si>
  <si>
    <t>120.00 元/m²</t>
  </si>
  <si>
    <t>包括场内道路、硬化面积等</t>
  </si>
  <si>
    <t>围栏工程</t>
  </si>
  <si>
    <t>50,000 m</t>
  </si>
  <si>
    <t>150.00 元/m</t>
  </si>
  <si>
    <t>包括围栏材料、安装费用等</t>
  </si>
  <si>
    <t>排水系统</t>
  </si>
  <si>
    <t>10,000 m 排水沟</t>
  </si>
  <si>
    <t>200.00 元/m</t>
  </si>
  <si>
    <t>包括排水管道、雨水收集系统等</t>
  </si>
  <si>
    <t>监控室建设</t>
  </si>
  <si>
    <t>1 间（50 m²）</t>
  </si>
  <si>
    <t>3,000.00 元/间</t>
  </si>
  <si>
    <t>包括建筑、防水处理等</t>
  </si>
  <si>
    <t>500kV升压站建设</t>
  </si>
  <si>
    <t>1 座</t>
  </si>
  <si>
    <t>50,000,000.00 元/座</t>
  </si>
  <si>
    <t>包括升压站房屋、设备安装等</t>
  </si>
  <si>
    <t>接入线路建设</t>
  </si>
  <si>
    <t>8公里</t>
  </si>
  <si>
    <t>10,000,000.00 元/公里</t>
  </si>
  <si>
    <t>包括线路杆塔、电缆敷设等</t>
  </si>
  <si>
    <t>其他辅助设施</t>
  </si>
  <si>
    <t>包括消防设施、照明系统等</t>
  </si>
  <si>
    <r>
      <rPr>
        <b/>
        <sz val="10.5"/>
        <color rgb="FF131313"/>
        <rFont val="Arial"/>
        <charset val="134"/>
      </rPr>
      <t xml:space="preserve">3. </t>
    </r>
    <r>
      <rPr>
        <b/>
        <sz val="10.5"/>
        <color rgb="FF131313"/>
        <rFont val="宋体"/>
        <charset val="134"/>
      </rPr>
      <t>安装工程概算明细</t>
    </r>
  </si>
  <si>
    <t>光伏组件安装</t>
  </si>
  <si>
    <t>1,083,334 块组件</t>
  </si>
  <si>
    <t>300.00 元/块</t>
  </si>
  <si>
    <t>包括组件固定、接线盒安装等</t>
  </si>
  <si>
    <t>支架安装</t>
  </si>
  <si>
    <t>1,083,334 套支架</t>
  </si>
  <si>
    <t>1,500.00 元/套</t>
  </si>
  <si>
    <t>逆变器安装</t>
  </si>
  <si>
    <t>100 台逆变器</t>
  </si>
  <si>
    <t>50,000.00 元/台</t>
  </si>
  <si>
    <t>包括逆变器固定、接线等</t>
  </si>
  <si>
    <t>汇流箱安装</t>
  </si>
  <si>
    <t>400 个汇流箱</t>
  </si>
  <si>
    <t>10,000.00 元/个</t>
  </si>
  <si>
    <t>包括汇流箱固定、接线等</t>
  </si>
  <si>
    <t>电缆敷设</t>
  </si>
  <si>
    <t>500,000 m 电缆</t>
  </si>
  <si>
    <t>50.00 元/m</t>
  </si>
  <si>
    <t>监控系统安装</t>
  </si>
  <si>
    <t>10 套监控设备</t>
  </si>
  <si>
    <t>5,000.00 元/套</t>
  </si>
  <si>
    <t>避雷系统安装</t>
  </si>
  <si>
    <t>400 个避雷器</t>
  </si>
  <si>
    <t>2,000.00 元/个</t>
  </si>
  <si>
    <t>并网设备安装</t>
  </si>
  <si>
    <t>1 套并网箱</t>
  </si>
  <si>
    <t>50,000.00 元/套</t>
  </si>
  <si>
    <t>其他辅助设备安装</t>
  </si>
  <si>
    <t>500kV升压站工程明细</t>
  </si>
  <si>
    <t>升压站房屋建设</t>
  </si>
  <si>
    <t>1座（1,000 m²）</t>
  </si>
  <si>
    <t>5,000.00 元/m²</t>
  </si>
  <si>
    <t>包括主控楼、变电房等</t>
  </si>
  <si>
    <t>20个基础</t>
  </si>
  <si>
    <t>500,000.00 元/个</t>
  </si>
  <si>
    <t>主变压器、断路器等基础</t>
  </si>
  <si>
    <t>设备安装</t>
  </si>
  <si>
    <t>包括主变压器、断路器等安装</t>
  </si>
  <si>
    <t>10,000 m</t>
  </si>
  <si>
    <t>100.00 元/m</t>
  </si>
  <si>
    <t>包括高压电缆、控制电缆等</t>
  </si>
  <si>
    <t>接地系统</t>
  </si>
  <si>
    <t>500kV接地系统</t>
  </si>
  <si>
    <t>防雷系统</t>
  </si>
  <si>
    <t>500kV防雷系统</t>
  </si>
  <si>
    <t>包括照明系统、围栏等</t>
  </si>
  <si>
    <t>500kV升压站安装明细</t>
  </si>
  <si>
    <t>安装内容</t>
  </si>
  <si>
    <t>主变压器安装</t>
  </si>
  <si>
    <t>2,000,000.00 元/台</t>
  </si>
  <si>
    <t>500kV主变压器安装</t>
  </si>
  <si>
    <t>高压断路器安装</t>
  </si>
  <si>
    <t>500kV高压断路器安装</t>
  </si>
  <si>
    <t>隔离开关安装</t>
  </si>
  <si>
    <t>200,000.00 元/台</t>
  </si>
  <si>
    <t>500kV隔离开关安装</t>
  </si>
  <si>
    <t>避雷器安装</t>
  </si>
  <si>
    <t>100,000.00 元/个</t>
  </si>
  <si>
    <t>500kV避雷器安装</t>
  </si>
  <si>
    <t>互感器安装</t>
  </si>
  <si>
    <t>150,000.00 元/个</t>
  </si>
  <si>
    <t>500kV电流/电压互感器安装</t>
  </si>
  <si>
    <t>保护装置安装</t>
  </si>
  <si>
    <t>500kV保护装置安装</t>
  </si>
  <si>
    <t>控制系统安装</t>
  </si>
  <si>
    <t>500kV控制系统安装</t>
  </si>
  <si>
    <t>300,000.00 元/套</t>
  </si>
  <si>
    <t>500kV监控系统安装</t>
  </si>
  <si>
    <t>消防系统安装</t>
  </si>
  <si>
    <t>200,000.00 元/套</t>
  </si>
  <si>
    <t>500kV消防系统安装</t>
  </si>
  <si>
    <t>通信系统安装</t>
  </si>
  <si>
    <t>500kV通信系统安装</t>
  </si>
  <si>
    <t>此色块为参数设定</t>
  </si>
  <si>
    <t>吉尔吉斯斯坦780MW/600MW光伏电站投资构成（含500kv变电站）</t>
  </si>
  <si>
    <t>运费(1500公里，4300元/吨)</t>
  </si>
  <si>
    <t>准备</t>
  </si>
  <si>
    <t>空间</t>
  </si>
  <si>
    <t>项目类别</t>
  </si>
  <si>
    <t>项目名称</t>
  </si>
  <si>
    <t>单价（元）</t>
  </si>
  <si>
    <t>总价（万元）</t>
  </si>
  <si>
    <t>重量(吨)</t>
  </si>
  <si>
    <t>运费</t>
  </si>
  <si>
    <t>单价上浮</t>
  </si>
  <si>
    <t>金额(万)</t>
  </si>
  <si>
    <t>当地成立公司采购</t>
  </si>
  <si>
    <t>发电设备</t>
  </si>
  <si>
    <t>W</t>
  </si>
  <si>
    <r>
      <rPr>
        <sz val="12"/>
        <rFont val="宋体"/>
        <charset val="134"/>
      </rPr>
      <t>单块组件功率</t>
    </r>
    <r>
      <rPr>
        <sz val="12"/>
        <color rgb="FFFF0000"/>
        <rFont val="宋体"/>
        <charset val="134"/>
      </rPr>
      <t>720W</t>
    </r>
  </si>
  <si>
    <t>2024市场价</t>
  </si>
  <si>
    <t>逆变器(共台)</t>
  </si>
  <si>
    <t>单台8.8MW和6.6MW</t>
  </si>
  <si>
    <t>支架系统</t>
  </si>
  <si>
    <t>台</t>
  </si>
  <si>
    <t>2024电网参考价</t>
  </si>
  <si>
    <t>变压器</t>
  </si>
  <si>
    <t>配电柜及配电装置</t>
  </si>
  <si>
    <t>通讯及监控系统</t>
  </si>
  <si>
    <t>电缆及附件</t>
  </si>
  <si>
    <t>km</t>
  </si>
  <si>
    <t>发电设备小计</t>
  </si>
  <si>
    <t>万元</t>
  </si>
  <si>
    <t>发电场工程</t>
  </si>
  <si>
    <t>土建工程</t>
  </si>
  <si>
    <t>单价暂定</t>
  </si>
  <si>
    <t>安装工程</t>
  </si>
  <si>
    <t>组件安装</t>
  </si>
  <si>
    <t>块</t>
  </si>
  <si>
    <t>电气安装</t>
  </si>
  <si>
    <t>MW</t>
  </si>
  <si>
    <t>调试和测试</t>
  </si>
  <si>
    <t>亩</t>
  </si>
  <si>
    <t>道路建设</t>
  </si>
  <si>
    <t>发电场工程小计</t>
  </si>
  <si>
    <t>吨/套（台）</t>
  </si>
  <si>
    <t>500kv变电站设备</t>
  </si>
  <si>
    <t>500kV主变压器（1000MVA）</t>
  </si>
  <si>
    <t>500kV GIS组合电器</t>
  </si>
  <si>
    <t>500kV 断路器</t>
  </si>
  <si>
    <t>500kV 隔离开关</t>
  </si>
  <si>
    <t>组</t>
  </si>
  <si>
    <t>500kV 电流互感器</t>
  </si>
  <si>
    <t>500kV 电压互感器</t>
  </si>
  <si>
    <t>500kV 避雷器</t>
  </si>
  <si>
    <t>500kV 母线及支持设备</t>
  </si>
  <si>
    <t>无功补偿装置（SVC/STATCOM）</t>
  </si>
  <si>
    <t>220kV 配电设备（断路器、母线等）</t>
  </si>
  <si>
    <t>110kV 配电设备（断路器、母线等）</t>
  </si>
  <si>
    <t>变电站继电保护系统</t>
  </si>
  <si>
    <t>自动化控制系统</t>
  </si>
  <si>
    <t>变电站消防系统</t>
  </si>
  <si>
    <t>站用变压器（35kV/10kV）</t>
  </si>
  <si>
    <t>升压站设备小计</t>
  </si>
  <si>
    <t>500kv变电站土建工程</t>
  </si>
  <si>
    <t>变电站建筑工程</t>
  </si>
  <si>
    <t>平方米</t>
  </si>
  <si>
    <t>设备基础</t>
  </si>
  <si>
    <t>站区道路及排水</t>
  </si>
  <si>
    <t>站区围墙及安保设施</t>
  </si>
  <si>
    <t>电缆沟及电缆敷设</t>
  </si>
  <si>
    <t>变电站土建工程小计</t>
  </si>
  <si>
    <t>合计：</t>
  </si>
  <si>
    <t>500kv变电站送出工程</t>
  </si>
  <si>
    <t>500kV 输电线路（架空线）</t>
  </si>
  <si>
    <t>公里</t>
  </si>
  <si>
    <t>铁塔及基础</t>
  </si>
  <si>
    <t>基</t>
  </si>
  <si>
    <t>导线（双回路）</t>
  </si>
  <si>
    <t>光缆及通信系统</t>
  </si>
  <si>
    <t>施工及安装费用</t>
  </si>
  <si>
    <t>变电站送出工程小计</t>
  </si>
  <si>
    <t>并网费用</t>
  </si>
  <si>
    <t>建设期保险费用</t>
  </si>
  <si>
    <t>年</t>
  </si>
  <si>
    <t>不可预见费</t>
  </si>
  <si>
    <t>其他小计</t>
  </si>
  <si>
    <t>前期费用</t>
  </si>
  <si>
    <t>可行性研究</t>
  </si>
  <si>
    <t>委托协议</t>
  </si>
  <si>
    <t>原单价已考虑</t>
  </si>
  <si>
    <t>环境评估</t>
  </si>
  <si>
    <t>项目审批</t>
  </si>
  <si>
    <t>设计及咨询</t>
  </si>
  <si>
    <t>前期费用小计</t>
  </si>
  <si>
    <t>建设管理费</t>
  </si>
  <si>
    <t>w</t>
  </si>
  <si>
    <t>工程建设管理费</t>
  </si>
  <si>
    <t>工程建设监理费</t>
  </si>
  <si>
    <t>咨询服务费</t>
  </si>
  <si>
    <t>项目技术经济评审费</t>
  </si>
  <si>
    <t>工程质量检查检测费</t>
  </si>
  <si>
    <t>项目验收费</t>
  </si>
  <si>
    <t>工程保险费</t>
  </si>
  <si>
    <t>开发服务费/咨询费</t>
  </si>
  <si>
    <t>开发服务费/咨询服务</t>
  </si>
  <si>
    <t>资源方开发协议，
与投资人沟通形式</t>
  </si>
  <si>
    <t>管理服务协议</t>
  </si>
  <si>
    <t>管理服务协议，与投资人沟通形式</t>
  </si>
  <si>
    <t>开发服务费/咨询服务小计</t>
  </si>
  <si>
    <t>总投资(含运费)</t>
  </si>
  <si>
    <t>总投资(不含运费)</t>
  </si>
  <si>
    <t>运费合计</t>
  </si>
  <si>
    <t>总计空间</t>
  </si>
  <si>
    <t>建筑工程费</t>
  </si>
  <si>
    <r>
      <rPr>
        <b/>
        <sz val="13"/>
        <color rgb="FF000000"/>
        <rFont val="Songti SC Regular"/>
        <charset val="134"/>
      </rPr>
      <t>吉尔吉斯斯坦巴特肯州巴特肯区阿克塔特尔</t>
    </r>
    <r>
      <rPr>
        <b/>
        <sz val="13"/>
        <color rgb="FF000000"/>
        <rFont val="Times New Roman Regular"/>
        <charset val="134"/>
      </rPr>
      <t>600</t>
    </r>
    <r>
      <rPr>
        <b/>
        <sz val="13"/>
        <color rgb="FF000000"/>
        <rFont val="Songti SC Regular"/>
        <charset val="134"/>
      </rPr>
      <t>兆瓦光伏发电项目管理型总承包报价表</t>
    </r>
    <r>
      <rPr>
        <b/>
        <sz val="13"/>
        <color rgb="FF000000"/>
        <rFont val="Times New Roman Regular"/>
        <charset val="134"/>
      </rPr>
      <t xml:space="preserve"> 
The Quotation for EPCM for 600MW Photovoltaic Power Generation Projectin Aktatyr, Batken District, Batken Region the Kyrgyz Republic</t>
    </r>
  </si>
  <si>
    <r>
      <rPr>
        <sz val="11"/>
        <color rgb="FF000000"/>
        <rFont val="Songti SC Regular"/>
        <charset val="134"/>
      </rPr>
      <t>序号</t>
    </r>
    <r>
      <rPr>
        <sz val="11"/>
        <color rgb="FF000000"/>
        <rFont val="Times New Roman Regular"/>
        <charset val="134"/>
      </rPr>
      <t xml:space="preserve">
No.</t>
    </r>
  </si>
  <si>
    <r>
      <rPr>
        <sz val="11"/>
        <color rgb="FF000000"/>
        <rFont val="Songti SC Regular"/>
        <charset val="134"/>
      </rPr>
      <t>项目名称</t>
    </r>
    <r>
      <rPr>
        <sz val="11"/>
        <color rgb="FF000000"/>
        <rFont val="Times New Roman Regular"/>
        <charset val="134"/>
      </rPr>
      <t xml:space="preserve">
Item Name</t>
    </r>
  </si>
  <si>
    <r>
      <rPr>
        <sz val="11"/>
        <color rgb="FF000000"/>
        <rFont val="Songti SC Regular"/>
        <charset val="134"/>
      </rPr>
      <t>型号规格</t>
    </r>
    <r>
      <rPr>
        <sz val="11"/>
        <color rgb="FF000000"/>
        <rFont val="Times New Roman Regular"/>
        <charset val="134"/>
      </rPr>
      <t xml:space="preserve">
Model / Specification</t>
    </r>
  </si>
  <si>
    <r>
      <rPr>
        <sz val="11"/>
        <color rgb="FF000000"/>
        <rFont val="Songti SC Regular"/>
        <charset val="134"/>
      </rPr>
      <t>单位</t>
    </r>
    <r>
      <rPr>
        <sz val="11"/>
        <color rgb="FF000000"/>
        <rFont val="Times New Roman Regular"/>
        <charset val="134"/>
      </rPr>
      <t xml:space="preserve">
Unit</t>
    </r>
  </si>
  <si>
    <r>
      <rPr>
        <sz val="11"/>
        <color rgb="FF000000"/>
        <rFont val="Songti SC Regular"/>
        <charset val="134"/>
      </rPr>
      <t>数量</t>
    </r>
    <r>
      <rPr>
        <sz val="11"/>
        <color rgb="FF000000"/>
        <rFont val="Times New Roman Regular"/>
        <charset val="134"/>
      </rPr>
      <t xml:space="preserve">
Quantity</t>
    </r>
  </si>
  <si>
    <r>
      <rPr>
        <sz val="11"/>
        <color rgb="FF000000"/>
        <rFont val="Songti SC Regular"/>
        <charset val="134"/>
      </rPr>
      <t>单价</t>
    </r>
    <r>
      <rPr>
        <sz val="11"/>
        <color rgb="FF000000"/>
        <rFont val="Times New Roman Regular"/>
        <charset val="134"/>
      </rPr>
      <t xml:space="preserve">
(</t>
    </r>
    <r>
      <rPr>
        <sz val="11"/>
        <color rgb="FF000000"/>
        <rFont val="Songti SC Regular"/>
        <charset val="134"/>
      </rPr>
      <t>人民币</t>
    </r>
    <r>
      <rPr>
        <sz val="11"/>
        <color rgb="FF000000"/>
        <rFont val="Times New Roman Regular"/>
        <charset val="134"/>
      </rPr>
      <t>:</t>
    </r>
    <r>
      <rPr>
        <sz val="11"/>
        <color rgb="FF000000"/>
        <rFont val="Songti SC Regular"/>
        <charset val="134"/>
      </rPr>
      <t>元</t>
    </r>
    <r>
      <rPr>
        <sz val="11"/>
        <color rgb="FF000000"/>
        <rFont val="Times New Roman Regular"/>
        <charset val="134"/>
      </rPr>
      <t>)
Unit Price (RMB: yuan)</t>
    </r>
  </si>
  <si>
    <r>
      <rPr>
        <sz val="11"/>
        <color rgb="FF000000"/>
        <rFont val="Songti SC Regular"/>
        <charset val="134"/>
      </rPr>
      <t>合价</t>
    </r>
    <r>
      <rPr>
        <sz val="11"/>
        <color rgb="FF000000"/>
        <rFont val="Times New Roman Regular"/>
        <charset val="134"/>
      </rPr>
      <t xml:space="preserve">
(</t>
    </r>
    <r>
      <rPr>
        <sz val="11"/>
        <color rgb="FF000000"/>
        <rFont val="Songti SC Regular"/>
        <charset val="134"/>
      </rPr>
      <t>人民币</t>
    </r>
    <r>
      <rPr>
        <sz val="11"/>
        <color rgb="FF000000"/>
        <rFont val="Times New Roman Regular"/>
        <charset val="134"/>
      </rPr>
      <t>:</t>
    </r>
    <r>
      <rPr>
        <sz val="11"/>
        <color rgb="FF000000"/>
        <rFont val="Songti SC Regular"/>
        <charset val="134"/>
      </rPr>
      <t>万元</t>
    </r>
    <r>
      <rPr>
        <sz val="11"/>
        <color rgb="FF000000"/>
        <rFont val="Times New Roman Regular"/>
        <charset val="134"/>
      </rPr>
      <t>) Combined price
(RMB10K Yuan)</t>
    </r>
  </si>
  <si>
    <r>
      <rPr>
        <sz val="11"/>
        <color rgb="FF000000"/>
        <rFont val="Songti SC Regular"/>
        <charset val="134"/>
      </rPr>
      <t>税金</t>
    </r>
    <r>
      <rPr>
        <sz val="11"/>
        <color rgb="FF000000"/>
        <rFont val="Times New Roman Regular"/>
        <charset val="134"/>
      </rPr>
      <t xml:space="preserve">
(tax)</t>
    </r>
  </si>
  <si>
    <r>
      <rPr>
        <sz val="11"/>
        <color rgb="FF000000"/>
        <rFont val="Songti SC Regular"/>
        <charset val="134"/>
      </rPr>
      <t>一</t>
    </r>
    <r>
      <rPr>
        <sz val="11"/>
        <color rgb="FF000000"/>
        <rFont val="Times New Roman Regular"/>
        <charset val="134"/>
      </rPr>
      <t xml:space="preserve">
I</t>
    </r>
  </si>
  <si>
    <t>Akyraan Energy Corporation Limited</t>
  </si>
  <si>
    <r>
      <rPr>
        <sz val="11"/>
        <color rgb="FF000000"/>
        <rFont val="Times New Roman Regular"/>
        <charset val="134"/>
      </rPr>
      <t>PPA</t>
    </r>
    <r>
      <rPr>
        <sz val="11"/>
        <color rgb="FF000000"/>
        <rFont val="Songti SC Regular"/>
        <charset val="134"/>
      </rPr>
      <t>手续办理、电力接入办理</t>
    </r>
    <r>
      <rPr>
        <sz val="11"/>
        <color rgb="FF000000"/>
        <rFont val="Times New Roman Regular"/>
        <charset val="134"/>
      </rPr>
      <t xml:space="preserve">
PPA procedure handling, power
access handling</t>
    </r>
  </si>
  <si>
    <t>600MW/750MWp</t>
  </si>
  <si>
    <t>Wp</t>
  </si>
  <si>
    <r>
      <rPr>
        <sz val="11"/>
        <color rgb="FF000000"/>
        <rFont val="Songti SC Regular"/>
        <charset val="134"/>
      </rPr>
      <t>所有税金</t>
    </r>
    <r>
      <rPr>
        <sz val="11"/>
        <color rgb="FF000000"/>
        <rFont val="Times New Roman Regular"/>
        <charset val="134"/>
      </rPr>
      <t>(</t>
    </r>
    <r>
      <rPr>
        <sz val="11"/>
        <color rgb="FF000000"/>
        <rFont val="Songti SC Regular"/>
        <charset val="134"/>
      </rPr>
      <t>境内境外</t>
    </r>
    <r>
      <rPr>
        <sz val="11"/>
        <color rgb="FF000000"/>
        <rFont val="Times New Roman Regular"/>
        <charset val="134"/>
      </rPr>
      <t>)</t>
    </r>
    <r>
      <rPr>
        <sz val="11"/>
        <color rgb="FF000000"/>
        <rFont val="Songti SC Regular"/>
        <charset val="134"/>
      </rPr>
      <t>、报关费、管理费、利润均包含在单价和合价之内。</t>
    </r>
    <r>
      <rPr>
        <sz val="11"/>
        <color rgb="FF000000"/>
        <rFont val="Times New Roman Regular"/>
        <charset val="134"/>
      </rPr>
      <t xml:space="preserve">
Al1 taxes (domestic and overseas), customs clearance fees, management fees, and profits are in the unit price and total price.</t>
    </r>
  </si>
  <si>
    <r>
      <rPr>
        <sz val="11"/>
        <color rgb="FF000000"/>
        <rFont val="Songti SC Regular"/>
        <charset val="134"/>
      </rPr>
      <t>项目所需征林征地费用</t>
    </r>
    <r>
      <rPr>
        <sz val="11"/>
        <color rgb="FF000000"/>
        <rFont val="Times New Roman Regular"/>
        <charset val="134"/>
      </rPr>
      <t>(</t>
    </r>
    <r>
      <rPr>
        <sz val="11"/>
        <color rgb="FF000000"/>
        <rFont val="Songti SC Regular"/>
        <charset val="134"/>
      </rPr>
      <t>包含临建、管理人员宿舍、料场等项目建设期问所需占用红线外的土地的协调及租赁</t>
    </r>
    <r>
      <rPr>
        <sz val="11"/>
        <color rgb="FF000000"/>
        <rFont val="Times New Roman Regular"/>
        <charset val="134"/>
      </rPr>
      <t>)</t>
    </r>
    <r>
      <rPr>
        <sz val="11"/>
        <color rgb="FF000000"/>
        <rFont val="Songti SC Regular"/>
        <charset val="134"/>
      </rPr>
      <t>，项目红线内的场地清理平整与征林征</t>
    </r>
    <r>
      <rPr>
        <sz val="11"/>
        <color rgb="FF000000"/>
        <rFont val="Times New Roman Regular"/>
        <charset val="134"/>
      </rPr>
      <t>(</t>
    </r>
    <r>
      <rPr>
        <sz val="11"/>
        <color rgb="FF000000"/>
        <rFont val="Songti SC Regular"/>
        <charset val="134"/>
      </rPr>
      <t>草</t>
    </r>
    <r>
      <rPr>
        <sz val="11"/>
        <color rgb="FF000000"/>
        <rFont val="Times New Roman Regular"/>
        <charset val="134"/>
      </rPr>
      <t>)</t>
    </r>
    <r>
      <rPr>
        <sz val="11"/>
        <color rgb="FF000000"/>
        <rFont val="Songti SC Regular"/>
        <charset val="134"/>
      </rPr>
      <t>地，及附着物的清赔。项目红线内障碍物的迁移及赔偿。</t>
    </r>
    <r>
      <rPr>
        <sz val="11"/>
        <color rgb="FF000000"/>
        <rFont val="Times New Roman Regular"/>
        <charset val="134"/>
      </rPr>
      <t xml:space="preserve">
The expenses required for forest and land acquisition for the project (including oordination and leasing of land outside the red line required for temporary construction, material storage, and other project construction during the project period),site clearance and leveling within the project red
line, forest (grass) landacquisition, and compensation for attachments. Relocation and compensation for obstacles within the project boundary line.</t>
    </r>
  </si>
  <si>
    <r>
      <rPr>
        <sz val="11"/>
        <color rgb="FF000000"/>
        <rFont val="Songti SC Regular"/>
        <charset val="134"/>
      </rPr>
      <t>施工许可办理</t>
    </r>
    <r>
      <rPr>
        <sz val="11"/>
        <color rgb="FF000000"/>
        <rFont val="Times New Roman Regular"/>
        <charset val="134"/>
      </rPr>
      <t xml:space="preserve">
Handling of construction permits</t>
    </r>
  </si>
  <si>
    <r>
      <rPr>
        <sz val="11"/>
        <color rgb="FF000000"/>
        <rFont val="Songti SC Regular"/>
        <charset val="134"/>
      </rPr>
      <t>并网发电手续办理，并网发电通过审批。整个电站所有调试试验费用</t>
    </r>
    <r>
      <rPr>
        <sz val="11"/>
        <color rgb="FF000000"/>
        <rFont val="Times New Roman Regular"/>
        <charset val="134"/>
      </rPr>
      <t>(</t>
    </r>
    <r>
      <rPr>
        <sz val="11"/>
        <color rgb="FF000000"/>
        <rFont val="Songti SC Regular"/>
        <charset val="134"/>
      </rPr>
      <t>同时满足中国及本地验收标准</t>
    </r>
    <r>
      <rPr>
        <sz val="11"/>
        <color rgb="FF000000"/>
        <rFont val="Times New Roman Regular"/>
        <charset val="134"/>
      </rPr>
      <t>)
Handling procedures for grid-connected power generation, and obtaining approval for grid-connected power generation. All commissioning and testing expenses for the entire power station
(meeting both Chinese and local acceptance standards)</t>
    </r>
  </si>
  <si>
    <r>
      <rPr>
        <sz val="11"/>
        <color rgb="FF000000"/>
        <rFont val="Songti SC Regular"/>
        <charset val="134"/>
      </rPr>
      <t>项目验收手续办理，消防验收手续办理，综合楼房产证办理</t>
    </r>
    <r>
      <rPr>
        <sz val="11"/>
        <color rgb="FF000000"/>
        <rFont val="Times New Roman Regular"/>
        <charset val="134"/>
      </rPr>
      <t xml:space="preserve">
Handling of project acceptance procedures, handling of fire safety acceptance procedures, and handling of property ownership certificate
for the complex building</t>
    </r>
  </si>
  <si>
    <r>
      <rPr>
        <sz val="11"/>
        <color rgb="FF000000"/>
        <rFont val="Songti SC Regular"/>
        <charset val="134"/>
      </rPr>
      <t>用工合规性手续办理，无人驾驶民用航空器</t>
    </r>
    <r>
      <rPr>
        <sz val="11"/>
        <color rgb="FF000000"/>
        <rFont val="Times New Roman Regular"/>
        <charset val="134"/>
      </rPr>
      <t>(</t>
    </r>
    <r>
      <rPr>
        <sz val="11"/>
        <color rgb="FF000000"/>
        <rFont val="Songti SC Regular"/>
        <charset val="134"/>
      </rPr>
      <t>无人机</t>
    </r>
    <r>
      <rPr>
        <sz val="11"/>
        <color rgb="FF000000"/>
        <rFont val="Times New Roman Regular"/>
        <charset val="134"/>
      </rPr>
      <t>)</t>
    </r>
    <r>
      <rPr>
        <sz val="11"/>
        <color rgb="FF000000"/>
        <rFont val="Songti SC Regular"/>
        <charset val="134"/>
      </rPr>
      <t>使用许可证</t>
    </r>
    <r>
      <rPr>
        <sz val="11"/>
        <color rgb="FF000000"/>
        <rFont val="Times New Roman Regular"/>
        <charset val="134"/>
      </rPr>
      <t xml:space="preserve">
Handling of employment compliance rocedures, and obtaining a usage license for unmanned civil aircraft
(drones)</t>
    </r>
  </si>
  <si>
    <r>
      <rPr>
        <sz val="11"/>
        <color rgb="FF000000"/>
        <rFont val="Songti SC Regular"/>
        <charset val="134"/>
      </rPr>
      <t>对端电站的设计及改造</t>
    </r>
    <r>
      <rPr>
        <sz val="11"/>
        <color rgb="FF000000"/>
        <rFont val="Times New Roman Regular"/>
        <charset val="134"/>
      </rPr>
      <t xml:space="preserve">
Design and renovation of the opposite-end ower station</t>
    </r>
  </si>
  <si>
    <r>
      <rPr>
        <sz val="11"/>
        <color rgb="FF000000"/>
        <rFont val="Songti SC Regular"/>
        <charset val="134"/>
      </rPr>
      <t>项目必需的所有道路建设，进场道路于续办理</t>
    </r>
    <r>
      <rPr>
        <sz val="11"/>
        <color rgb="FF000000"/>
        <rFont val="Times New Roman Regular"/>
        <charset val="134"/>
      </rPr>
      <t xml:space="preserve">
All necessary road construction for the project,Handling of access road procedures</t>
    </r>
  </si>
  <si>
    <r>
      <rPr>
        <sz val="11"/>
        <color rgb="FF000000"/>
        <rFont val="Songti SC Regular"/>
        <charset val="134"/>
      </rPr>
      <t>项目红线内的水保设施建设</t>
    </r>
    <r>
      <rPr>
        <sz val="11"/>
        <color rgb="FF000000"/>
        <rFont val="Times New Roman Regular"/>
        <charset val="134"/>
      </rPr>
      <t xml:space="preserve">
Construction of water and soil conservation facilities within the project boundary</t>
    </r>
  </si>
  <si>
    <r>
      <rPr>
        <sz val="11"/>
        <color rgb="FF000000"/>
        <rFont val="Songti SC Regular"/>
        <charset val="134"/>
      </rPr>
      <t>其他项目所需的所有上述未列明的政府手续办理</t>
    </r>
    <r>
      <rPr>
        <sz val="11"/>
        <color rgb="FF000000"/>
        <rFont val="Times New Roman Regular"/>
        <charset val="134"/>
      </rPr>
      <t xml:space="preserve">
Handling all the aforementioned government procedures not listed, which are required for other projects</t>
    </r>
  </si>
  <si>
    <r>
      <rPr>
        <sz val="11"/>
        <color rgb="FF000000"/>
        <rFont val="Songti SC Regular"/>
        <charset val="134"/>
      </rPr>
      <t>交通费等</t>
    </r>
    <r>
      <rPr>
        <sz val="11"/>
        <color rgb="FF000000"/>
        <rFont val="Times New Roman Regular"/>
        <charset val="134"/>
      </rPr>
      <t xml:space="preserve">
Transportation fees,etc</t>
    </r>
  </si>
  <si>
    <r>
      <rPr>
        <sz val="11"/>
        <color rgb="FF000000"/>
        <rFont val="Songti SC Regular"/>
        <charset val="134"/>
      </rPr>
      <t>小计</t>
    </r>
    <r>
      <rPr>
        <sz val="11"/>
        <color rgb="FF000000"/>
        <rFont val="Times New Roman Regular"/>
        <charset val="134"/>
      </rPr>
      <t>(</t>
    </r>
    <r>
      <rPr>
        <sz val="11"/>
        <color rgb="FF000000"/>
        <rFont val="Songti SC Regular"/>
        <charset val="134"/>
      </rPr>
      <t>一</t>
    </r>
    <r>
      <rPr>
        <sz val="11"/>
        <color rgb="FF000000"/>
        <rFont val="Times New Roman Regular"/>
        <charset val="134"/>
      </rPr>
      <t>)
Total (1)</t>
    </r>
  </si>
  <si>
    <r>
      <rPr>
        <sz val="11"/>
        <color rgb="FF000000"/>
        <rFont val="Songti SC Regular"/>
        <charset val="134"/>
      </rPr>
      <t>二</t>
    </r>
    <r>
      <rPr>
        <sz val="11"/>
        <color rgb="FF000000"/>
        <rFont val="Times New Roman Regular"/>
        <charset val="134"/>
      </rPr>
      <t xml:space="preserve">
II</t>
    </r>
  </si>
  <si>
    <t>Kyrgyzstan New Energy Co.ltd</t>
  </si>
  <si>
    <r>
      <rPr>
        <sz val="11"/>
        <color rgb="FF000000"/>
        <rFont val="Songti SC Regular"/>
        <charset val="134"/>
      </rPr>
      <t>项目防洪设施</t>
    </r>
    <r>
      <rPr>
        <sz val="11"/>
        <color rgb="FF000000"/>
        <rFont val="Times New Roman Regular"/>
        <charset val="134"/>
      </rPr>
      <t xml:space="preserve">
Flood control facilities withinthe project</t>
    </r>
  </si>
  <si>
    <r>
      <rPr>
        <sz val="11"/>
        <color rgb="FF000000"/>
        <rFont val="Songti SC Regular"/>
        <charset val="134"/>
      </rPr>
      <t>项目红线范围内</t>
    </r>
    <r>
      <rPr>
        <sz val="11"/>
        <color rgb="FF000000"/>
        <rFont val="Times New Roman Regular"/>
        <charset val="134"/>
      </rPr>
      <t>(</t>
    </r>
    <r>
      <rPr>
        <sz val="11"/>
        <color rgb="FF000000"/>
        <rFont val="Songti SC Regular"/>
        <charset val="134"/>
      </rPr>
      <t>外</t>
    </r>
    <r>
      <rPr>
        <sz val="11"/>
        <color rgb="FF000000"/>
        <rFont val="Times New Roman Regular"/>
        <charset val="134"/>
      </rPr>
      <t>)</t>
    </r>
    <r>
      <rPr>
        <sz val="11"/>
        <color rgb="FF000000"/>
        <rFont val="Songti SC Regular"/>
        <charset val="134"/>
      </rPr>
      <t>的供水设施及</t>
    </r>
    <r>
      <rPr>
        <sz val="11"/>
        <color rgb="FF000000"/>
        <rFont val="Times New Roman Regular"/>
        <charset val="134"/>
      </rPr>
      <t>6</t>
    </r>
    <r>
      <rPr>
        <sz val="11"/>
        <color rgb="FF000000"/>
        <rFont val="Songti SC Regular"/>
        <charset val="134"/>
      </rPr>
      <t>处清洗用水设施</t>
    </r>
    <r>
      <rPr>
        <sz val="11"/>
        <color rgb="FF000000"/>
        <rFont val="Times New Roman Regular"/>
        <charset val="134"/>
      </rPr>
      <t xml:space="preserve">
Water supply facilities within (and outside) the project boundary line, as well as six water storage facilities for cleaning purposes</t>
    </r>
  </si>
  <si>
    <r>
      <rPr>
        <sz val="11"/>
        <color rgb="FF000000"/>
        <rFont val="Songti SC Regular"/>
        <charset val="134"/>
      </rPr>
      <t>光伏场区围栏</t>
    </r>
    <r>
      <rPr>
        <sz val="11"/>
        <color rgb="FF000000"/>
        <rFont val="Times New Roman Regular"/>
        <charset val="134"/>
      </rPr>
      <t xml:space="preserve">
Fence of photovoltaic field area</t>
    </r>
  </si>
  <si>
    <r>
      <rPr>
        <sz val="11"/>
        <color rgb="FF000000"/>
        <rFont val="Songti SC Regular"/>
        <charset val="134"/>
      </rPr>
      <t>光伏支架桩打桩及箱逆变一体机基础打桩</t>
    </r>
    <r>
      <rPr>
        <sz val="11"/>
        <color rgb="FF000000"/>
        <rFont val="Times New Roman Regular"/>
        <charset val="134"/>
      </rPr>
      <t xml:space="preserve">
Pile driving for photovoltaic support and foundation piling for box-type inverter ntegrated
machine</t>
    </r>
  </si>
  <si>
    <r>
      <rPr>
        <sz val="11"/>
        <color rgb="FF000000"/>
        <rFont val="Times New Roman Regular"/>
        <charset val="134"/>
      </rPr>
      <t>600MW/750MWp</t>
    </r>
    <r>
      <rPr>
        <sz val="11"/>
        <color rgb="FF000000"/>
        <rFont val="Songti SC Regular"/>
        <charset val="134"/>
      </rPr>
      <t>，抗</t>
    </r>
    <r>
      <rPr>
        <sz val="11"/>
        <color rgb="FF000000"/>
        <rFont val="Times New Roman Regular"/>
        <charset val="134"/>
      </rPr>
      <t>15</t>
    </r>
    <r>
      <rPr>
        <sz val="11"/>
        <color rgb="FF000000"/>
        <rFont val="Songti SC Regular"/>
        <charset val="134"/>
      </rPr>
      <t>级强风，</t>
    </r>
    <r>
      <rPr>
        <sz val="11"/>
        <color rgb="FF000000"/>
        <rFont val="Times New Roman Regular"/>
        <charset val="134"/>
      </rPr>
      <t>GPS</t>
    </r>
    <r>
      <rPr>
        <sz val="11"/>
        <color rgb="FF000000"/>
        <rFont val="Songti SC Regular"/>
        <charset val="134"/>
      </rPr>
      <t>高精度自动定位打桩系统</t>
    </r>
    <r>
      <rPr>
        <sz val="11"/>
        <color rgb="FF000000"/>
        <rFont val="Times New Roman Regular"/>
        <charset val="134"/>
      </rPr>
      <t xml:space="preserve">
Anti level 15 strong wind, GPS high-precision automatic positioning pile driving system</t>
    </r>
  </si>
  <si>
    <r>
      <rPr>
        <sz val="11"/>
        <color rgb="FF000000"/>
        <rFont val="Songti SC Regular"/>
        <charset val="134"/>
      </rPr>
      <t>升压站土建工程、装饰装修工程</t>
    </r>
    <r>
      <rPr>
        <sz val="11"/>
        <color rgb="FF000000"/>
        <rFont val="Times New Roman Regular"/>
        <charset val="134"/>
      </rPr>
      <t xml:space="preserve">
Civil engineering and decoration works for the booster station</t>
    </r>
  </si>
  <si>
    <r>
      <rPr>
        <sz val="11"/>
        <color rgb="FF000000"/>
        <rFont val="Times New Roman Regular"/>
        <charset val="134"/>
      </rPr>
      <t>600MW/750MWp</t>
    </r>
    <r>
      <rPr>
        <sz val="11"/>
        <color rgb="FF000000"/>
        <rFont val="Songti SC Regular"/>
        <charset val="134"/>
      </rPr>
      <t>，管理楼、电控</t>
    </r>
    <r>
      <rPr>
        <sz val="11"/>
        <color rgb="FF000000"/>
        <rFont val="Times New Roman Regular"/>
        <charset val="134"/>
      </rPr>
      <t xml:space="preserve">
</t>
    </r>
    <r>
      <rPr>
        <sz val="11"/>
        <color rgb="FF000000"/>
        <rFont val="Songti SC Regular"/>
        <charset val="134"/>
      </rPr>
      <t>楼及所有设备基础等</t>
    </r>
    <r>
      <rPr>
        <sz val="11"/>
        <color rgb="FF000000"/>
        <rFont val="Times New Roman Regular"/>
        <charset val="134"/>
      </rPr>
      <t xml:space="preserve">
Management building, electrical control
building, and all equipment foundations, etc</t>
    </r>
  </si>
  <si>
    <r>
      <rPr>
        <sz val="11"/>
        <color rgb="FF000000"/>
        <rFont val="Songti SC Regular"/>
        <charset val="134"/>
      </rPr>
      <t>储能站土建工程、装饰装修工程</t>
    </r>
    <r>
      <rPr>
        <sz val="11"/>
        <color rgb="FF000000"/>
        <rFont val="Times New Roman Regular"/>
        <charset val="134"/>
      </rPr>
      <t>(</t>
    </r>
    <r>
      <rPr>
        <sz val="11"/>
        <color rgb="FF000000"/>
        <rFont val="Songti SC Regular"/>
        <charset val="134"/>
      </rPr>
      <t>包含储能预留区域的场平及砂石覆盖</t>
    </r>
    <r>
      <rPr>
        <sz val="11"/>
        <color rgb="FF000000"/>
        <rFont val="Times New Roman Regular"/>
        <charset val="134"/>
      </rPr>
      <t>)
Civil engineering and decoration works for the energy storage station (including site leveling
and sand and gravel covering for the reserved energy storage area)</t>
    </r>
  </si>
  <si>
    <t>180MW/360MWh+180MW/360MWH</t>
  </si>
  <si>
    <r>
      <rPr>
        <sz val="11"/>
        <color rgb="FF000000"/>
        <rFont val="Songti SC Regular"/>
        <charset val="134"/>
      </rPr>
      <t>消防水池、隔油池工程</t>
    </r>
    <r>
      <rPr>
        <sz val="11"/>
        <color rgb="FF000000"/>
        <rFont val="Times New Roman Regular"/>
        <charset val="134"/>
      </rPr>
      <t xml:space="preserve">
Fire pool and oil separator project</t>
    </r>
  </si>
  <si>
    <r>
      <rPr>
        <sz val="11"/>
        <color rgb="FF000000"/>
        <rFont val="Times New Roman Regular"/>
        <charset val="134"/>
      </rPr>
      <t>600MW/750MWp</t>
    </r>
    <r>
      <rPr>
        <sz val="11"/>
        <color rgb="FF000000"/>
        <rFont val="Songti SC Regular"/>
        <charset val="134"/>
      </rPr>
      <t>，</t>
    </r>
    <r>
      <rPr>
        <sz val="11"/>
        <color rgb="FF000000"/>
        <rFont val="Times New Roman Regular"/>
        <charset val="134"/>
      </rPr>
      <t>360MW/360MWH</t>
    </r>
  </si>
  <si>
    <r>
      <rPr>
        <sz val="11"/>
        <color rgb="FF000000"/>
        <rFont val="Songti SC Regular"/>
        <charset val="134"/>
      </rPr>
      <t>升压站、储能站外围工程</t>
    </r>
    <r>
      <rPr>
        <sz val="11"/>
        <color rgb="FF000000"/>
        <rFont val="Times New Roman Regular"/>
        <charset val="134"/>
      </rPr>
      <t xml:space="preserve">
Peripheral works of booster station and energy storage station</t>
    </r>
  </si>
  <si>
    <r>
      <rPr>
        <sz val="11"/>
        <color rgb="FF000000"/>
        <rFont val="Times New Roman Regular"/>
        <charset val="134"/>
      </rPr>
      <t>600MW/750MWp</t>
    </r>
    <r>
      <rPr>
        <sz val="11"/>
        <color rgb="FF000000"/>
        <rFont val="Songti SC Regular"/>
        <charset val="134"/>
      </rPr>
      <t>，</t>
    </r>
    <r>
      <rPr>
        <sz val="11"/>
        <color rgb="FF000000"/>
        <rFont val="Times New Roman Regular"/>
        <charset val="134"/>
      </rPr>
      <t xml:space="preserve">360MW/360MWH
</t>
    </r>
    <r>
      <rPr>
        <sz val="11"/>
        <color rgb="FF000000"/>
        <rFont val="Songti SC Regular"/>
        <charset val="134"/>
      </rPr>
      <t>，场平、道路、围墙、大门等</t>
    </r>
    <r>
      <rPr>
        <sz val="11"/>
        <color rgb="FF000000"/>
        <rFont val="Times New Roman Regular"/>
        <charset val="134"/>
      </rPr>
      <t xml:space="preserve">
Field leveling, roads, walls, gates, etc</t>
    </r>
  </si>
  <si>
    <r>
      <rPr>
        <sz val="11"/>
        <color rgb="FF000000"/>
        <rFont val="Songti SC Regular"/>
        <charset val="134"/>
      </rPr>
      <t>外线塔基工程</t>
    </r>
    <r>
      <rPr>
        <sz val="11"/>
        <color rgb="FF000000"/>
        <rFont val="Times New Roman Regular"/>
        <charset val="134"/>
      </rPr>
      <t>(</t>
    </r>
    <r>
      <rPr>
        <sz val="11"/>
        <color rgb="FF000000"/>
        <rFont val="Songti SC Regular"/>
        <charset val="134"/>
      </rPr>
      <t>含征地</t>
    </r>
    <r>
      <rPr>
        <sz val="11"/>
        <color rgb="FF000000"/>
        <rFont val="Times New Roman Regular"/>
        <charset val="134"/>
      </rPr>
      <t>)
External line tower foundation project (including land acquisition)</t>
    </r>
  </si>
  <si>
    <r>
      <rPr>
        <sz val="11"/>
        <color rgb="FF000000"/>
        <rFont val="Songti SC Regular"/>
        <charset val="134"/>
      </rPr>
      <t xml:space="preserve">运维车辆、施工辅助机械、备品备件
</t>
    </r>
    <r>
      <rPr>
        <sz val="11"/>
        <color rgb="FF000000"/>
        <rFont val="Times New Roman Regular"/>
        <charset val="134"/>
      </rPr>
      <t>Operation and maintenance vehicles, construction auxiliary machinery, spare parts</t>
    </r>
  </si>
  <si>
    <r>
      <rPr>
        <sz val="11"/>
        <color rgb="FF000000"/>
        <rFont val="Songti SC Regular"/>
        <charset val="134"/>
      </rPr>
      <t>临水临电、临建、管理人员宿舍、办公网络工程</t>
    </r>
    <r>
      <rPr>
        <sz val="11"/>
        <color rgb="FF000000"/>
        <rFont val="Times New Roman Regular"/>
        <charset val="134"/>
      </rPr>
      <t xml:space="preserve">
Temporary water and electricity supply, temporary construction, and office network engineering</t>
    </r>
  </si>
  <si>
    <r>
      <rPr>
        <sz val="11"/>
        <color rgb="FF000000"/>
        <rFont val="Times New Roman Regular"/>
        <charset val="134"/>
      </rPr>
      <t>35KV</t>
    </r>
    <r>
      <rPr>
        <sz val="11"/>
        <color rgb="FF000000"/>
        <rFont val="Songti SC Regular"/>
        <charset val="134"/>
      </rPr>
      <t>首批并网发电接入工程</t>
    </r>
    <r>
      <rPr>
        <sz val="11"/>
        <color rgb="FF000000"/>
        <rFont val="Times New Roman Regular"/>
        <charset val="134"/>
      </rPr>
      <t xml:space="preserve">
The first batch of 35KV grid-connected power generation access project</t>
    </r>
  </si>
  <si>
    <r>
      <rPr>
        <sz val="11"/>
        <color rgb="FF000000"/>
        <rFont val="Times New Roman Regular"/>
        <charset val="134"/>
      </rPr>
      <t>1MWp</t>
    </r>
    <r>
      <rPr>
        <sz val="11"/>
        <color rgb="FF000000"/>
        <rFont val="Songti SC Regular"/>
        <charset val="134"/>
      </rPr>
      <t>样板区建设</t>
    </r>
    <r>
      <rPr>
        <sz val="11"/>
        <color rgb="FF000000"/>
        <rFont val="Times New Roman Regular"/>
        <charset val="134"/>
      </rPr>
      <t xml:space="preserve">
Construction of 1MWp demonstration area</t>
    </r>
  </si>
  <si>
    <r>
      <rPr>
        <sz val="11"/>
        <color rgb="FF000000"/>
        <rFont val="Times New Roman Regular"/>
        <charset val="134"/>
      </rPr>
      <t>100</t>
    </r>
    <r>
      <rPr>
        <sz val="11"/>
        <color rgb="FF000000"/>
        <rFont val="Songti SC Regular"/>
        <charset val="134"/>
      </rPr>
      <t>个绿色农业大棚、绿色牧业设施和生态公园等政府要求的所有配套工程</t>
    </r>
    <r>
      <rPr>
        <sz val="11"/>
        <color rgb="FF000000"/>
        <rFont val="Times New Roman Regular"/>
        <charset val="134"/>
      </rPr>
      <t xml:space="preserve">
All supporting projects required by the government, including 100 green agricultural greenhouses, green animal husbandry facilities, and ecological parks</t>
    </r>
  </si>
  <si>
    <r>
      <rPr>
        <sz val="11"/>
        <color rgb="FF000000"/>
        <rFont val="Songti SC Regular"/>
        <charset val="134"/>
      </rPr>
      <t>协助办理项目在吉尔吉斯斯坦境内的所有审批手续</t>
    </r>
    <r>
      <rPr>
        <sz val="11"/>
        <color rgb="FF000000"/>
        <rFont val="Times New Roman Regular"/>
        <charset val="134"/>
      </rPr>
      <t>(</t>
    </r>
    <r>
      <rPr>
        <sz val="11"/>
        <color rgb="FF000000"/>
        <rFont val="Songti SC Regular"/>
        <charset val="134"/>
      </rPr>
      <t>包括</t>
    </r>
    <r>
      <rPr>
        <sz val="11"/>
        <color rgb="FF000000"/>
        <rFont val="Times New Roman Regular"/>
        <charset val="134"/>
      </rPr>
      <t>PPA</t>
    </r>
    <r>
      <rPr>
        <sz val="11"/>
        <color rgb="FF000000"/>
        <rFont val="Songti SC Regular"/>
        <charset val="134"/>
      </rPr>
      <t>、征林征地、施工许可、调试试验、并网发电、项目验收、签证、当地工人配备等</t>
    </r>
    <r>
      <rPr>
        <sz val="11"/>
        <color rgb="FF000000"/>
        <rFont val="Times New Roman Regular"/>
        <charset val="134"/>
      </rPr>
      <t>)
Assist in handling all approval procedures for the project within Kyrgyzstan, including PPA, forest and land acquisition, construction
permit, commissioning and testing, grid connected power generation, project acceptance, visa, local worker allocation,etc.</t>
    </r>
  </si>
  <si>
    <r>
      <rPr>
        <sz val="11"/>
        <color rgb="FF000000"/>
        <rFont val="Songti SC Regular"/>
        <charset val="134"/>
      </rPr>
      <t>全项目用工合规性手续办理</t>
    </r>
    <r>
      <rPr>
        <sz val="11"/>
        <color rgb="FF000000"/>
        <rFont val="Times New Roman Regular"/>
        <charset val="134"/>
      </rPr>
      <t xml:space="preserve">
Handling of compliance procedures for the entire project's employment</t>
    </r>
  </si>
  <si>
    <r>
      <rPr>
        <sz val="11"/>
        <color rgb="FF000000"/>
        <rFont val="Songti SC Regular"/>
        <charset val="134"/>
      </rPr>
      <t>运费</t>
    </r>
    <r>
      <rPr>
        <sz val="11"/>
        <color rgb="FF000000"/>
        <rFont val="Times New Roman Regular"/>
        <charset val="134"/>
      </rPr>
      <t xml:space="preserve">
Freight</t>
    </r>
  </si>
  <si>
    <r>
      <rPr>
        <sz val="11"/>
        <color rgb="FF000000"/>
        <rFont val="Songti SC Regular"/>
        <charset val="134"/>
      </rPr>
      <t>现场管理费</t>
    </r>
    <r>
      <rPr>
        <sz val="11"/>
        <color rgb="FF000000"/>
        <rFont val="Times New Roman Regular"/>
        <charset val="134"/>
      </rPr>
      <t xml:space="preserve">
Management fee</t>
    </r>
  </si>
  <si>
    <r>
      <rPr>
        <sz val="11"/>
        <color rgb="FF000000"/>
        <rFont val="Songti SC Regular"/>
        <charset val="134"/>
      </rPr>
      <t>交通费等</t>
    </r>
    <r>
      <rPr>
        <sz val="11"/>
        <color rgb="FF000000"/>
        <rFont val="Times New Roman Regular"/>
        <charset val="134"/>
      </rPr>
      <t xml:space="preserve">
Transportation fees, etc</t>
    </r>
  </si>
  <si>
    <r>
      <rPr>
        <sz val="11"/>
        <color rgb="FF000000"/>
        <rFont val="Songti SC Regular"/>
        <charset val="134"/>
      </rPr>
      <t>合计</t>
    </r>
    <r>
      <rPr>
        <sz val="11"/>
        <color rgb="FF000000"/>
        <rFont val="Times New Roman Regular"/>
        <charset val="134"/>
      </rPr>
      <t>(</t>
    </r>
    <r>
      <rPr>
        <sz val="11"/>
        <color rgb="FF000000"/>
        <rFont val="Songti SC Regular"/>
        <charset val="134"/>
      </rPr>
      <t>二</t>
    </r>
    <r>
      <rPr>
        <sz val="11"/>
        <color rgb="FF000000"/>
        <rFont val="Times New Roman Regular"/>
        <charset val="134"/>
      </rPr>
      <t>)
Total(II)</t>
    </r>
  </si>
  <si>
    <r>
      <rPr>
        <sz val="11"/>
        <color rgb="FF000000"/>
        <rFont val="Songti SC Regular"/>
        <charset val="134"/>
      </rPr>
      <t>三</t>
    </r>
    <r>
      <rPr>
        <sz val="11"/>
        <color rgb="FF000000"/>
        <rFont val="Times New Roman Regular"/>
        <charset val="134"/>
      </rPr>
      <t xml:space="preserve"> 
III</t>
    </r>
  </si>
  <si>
    <r>
      <rPr>
        <sz val="11"/>
        <color rgb="FF000000"/>
        <rFont val="Songti SC Regular"/>
        <charset val="134"/>
      </rPr>
      <t>华松电力集团股份有限公司</t>
    </r>
  </si>
  <si>
    <r>
      <rPr>
        <sz val="11"/>
        <color rgb="FF000000"/>
        <rFont val="Songti SC Regular"/>
        <charset val="134"/>
      </rPr>
      <t>主变压器</t>
    </r>
    <r>
      <rPr>
        <sz val="11"/>
        <color rgb="FF000000"/>
        <rFont val="Times New Roman Regular"/>
        <charset val="134"/>
      </rPr>
      <t>(</t>
    </r>
    <r>
      <rPr>
        <sz val="11"/>
        <color rgb="FF000000"/>
        <rFont val="Songti SC Regular"/>
        <charset val="134"/>
      </rPr>
      <t>包括但不限于中性点成套装置、排油注氮灭火装置等附属配置</t>
    </r>
    <r>
      <rPr>
        <sz val="11"/>
        <color rgb="FF000000"/>
        <rFont val="Times New Roman Regular"/>
        <charset val="134"/>
      </rPr>
      <t>)
Main transformer (including but not limited to auxiliary configurations such as neutral point complete equipment, oil discharge and nitrogen injection fire extinguishing device, etc.)</t>
    </r>
  </si>
  <si>
    <r>
      <rPr>
        <sz val="11"/>
        <color rgb="FF000000"/>
        <rFont val="Times New Roman Regular"/>
        <charset val="134"/>
      </rPr>
      <t>600MW/750MWp</t>
    </r>
    <r>
      <rPr>
        <sz val="11"/>
        <color rgb="FF000000"/>
        <rFont val="Songti SC Regular"/>
        <charset val="134"/>
      </rPr>
      <t>，</t>
    </r>
    <r>
      <rPr>
        <sz val="11"/>
        <color rgb="FF000000"/>
        <rFont val="Times New Roman Regular"/>
        <charset val="134"/>
      </rPr>
      <t>500KV</t>
    </r>
  </si>
  <si>
    <r>
      <rPr>
        <sz val="11"/>
        <color rgb="FF000000"/>
        <rFont val="Times New Roman Regular"/>
        <charset val="134"/>
      </rPr>
      <t>SVG</t>
    </r>
    <r>
      <rPr>
        <sz val="11"/>
        <color rgb="FF000000"/>
        <rFont val="Songti SC Regular"/>
        <charset val="134"/>
      </rPr>
      <t>系统</t>
    </r>
    <r>
      <rPr>
        <sz val="11"/>
        <color rgb="FF000000"/>
        <rFont val="Times New Roman Regular"/>
        <charset val="134"/>
      </rPr>
      <t>(</t>
    </r>
    <r>
      <rPr>
        <sz val="11"/>
        <color rgb="FF000000"/>
        <rFont val="Songti SC Regular"/>
        <charset val="134"/>
      </rPr>
      <t>成套装置</t>
    </r>
    <r>
      <rPr>
        <sz val="11"/>
        <color rgb="FF000000"/>
        <rFont val="Times New Roman Regular"/>
        <charset val="134"/>
      </rPr>
      <t>)
SVG system(Complete equipment)</t>
    </r>
  </si>
  <si>
    <r>
      <rPr>
        <sz val="11"/>
        <color rgb="FF000000"/>
        <rFont val="Times New Roman Regular"/>
        <charset val="134"/>
      </rPr>
      <t>GIS</t>
    </r>
    <r>
      <rPr>
        <sz val="11"/>
        <color rgb="FF000000"/>
        <rFont val="Songti SC Regular"/>
        <charset val="134"/>
      </rPr>
      <t>系统</t>
    </r>
    <r>
      <rPr>
        <sz val="11"/>
        <color rgb="FF000000"/>
        <rFont val="Times New Roman Regular"/>
        <charset val="134"/>
      </rPr>
      <t>(</t>
    </r>
    <r>
      <rPr>
        <sz val="11"/>
        <color rgb="FF000000"/>
        <rFont val="Songti SC Regular"/>
        <charset val="134"/>
      </rPr>
      <t>或</t>
    </r>
    <r>
      <rPr>
        <sz val="11"/>
        <color rgb="FF000000"/>
        <rFont val="Times New Roman Regular"/>
        <charset val="134"/>
      </rPr>
      <t>AIS</t>
    </r>
    <r>
      <rPr>
        <sz val="11"/>
        <color rgb="FF000000"/>
        <rFont val="Songti SC Regular"/>
        <charset val="134"/>
      </rPr>
      <t>系统</t>
    </r>
    <r>
      <rPr>
        <sz val="11"/>
        <color rgb="FF000000"/>
        <rFont val="Times New Roman Regular"/>
        <charset val="134"/>
      </rPr>
      <t>)(</t>
    </r>
    <r>
      <rPr>
        <sz val="11"/>
        <color rgb="FF000000"/>
        <rFont val="Songti SC Regular"/>
        <charset val="134"/>
      </rPr>
      <t>包括但不限于附属的出线套管支撑件、旁路隔离开关支撑件、汇控柜槽盒、避雷器支架、基础等等</t>
    </r>
    <r>
      <rPr>
        <sz val="11"/>
        <color rgb="FF000000"/>
        <rFont val="Times New Roman Regular"/>
        <charset val="134"/>
      </rPr>
      <t>)
GIS system (or AIS system)(Including but not limited to supporting components such as auxiliary outgoing conduit, bypass isolation switch, control cabinet tray, lightning arrester bracket, foundation, etc)</t>
    </r>
  </si>
  <si>
    <r>
      <rPr>
        <sz val="11"/>
        <color rgb="FF000000"/>
        <rFont val="Songti SC Regular"/>
        <charset val="134"/>
      </rPr>
      <t>钢构架及避雷针</t>
    </r>
    <r>
      <rPr>
        <sz val="11"/>
        <color rgb="FF000000"/>
        <rFont val="Times New Roman Regular"/>
        <charset val="134"/>
      </rPr>
      <t xml:space="preserve">
Steel frame and lightning rod</t>
    </r>
  </si>
  <si>
    <r>
      <rPr>
        <sz val="11"/>
        <color rgb="FF000000"/>
        <rFont val="Songti SC Regular"/>
        <charset val="134"/>
      </rPr>
      <t>高压系统</t>
    </r>
    <r>
      <rPr>
        <sz val="11"/>
        <color rgb="FF000000"/>
        <rFont val="Times New Roman Regular"/>
        <charset val="134"/>
      </rPr>
      <t>(</t>
    </r>
    <r>
      <rPr>
        <sz val="11"/>
        <color rgb="FF000000"/>
        <rFont val="Songti SC Regular"/>
        <charset val="134"/>
      </rPr>
      <t>包括但不限于氧化锌避雷器、电压互感器、电流互感器、耦合电容器、阻波器、隔离开关、接地开关、高压开关、</t>
    </r>
    <r>
      <rPr>
        <sz val="11"/>
        <color rgb="FF000000"/>
        <rFont val="Times New Roman Regular"/>
        <charset val="134"/>
      </rPr>
      <t>35kV</t>
    </r>
    <r>
      <rPr>
        <sz val="11"/>
        <color rgb="FF000000"/>
        <rFont val="Songti SC Regular"/>
        <charset val="134"/>
      </rPr>
      <t>开关柜、预制舱室、接地变及小电阻成套装置、母线、导体和导线</t>
    </r>
    <r>
      <rPr>
        <sz val="11"/>
        <color rgb="FF000000"/>
        <rFont val="Times New Roman Regular"/>
        <charset val="134"/>
      </rPr>
      <t>(</t>
    </r>
    <r>
      <rPr>
        <sz val="11"/>
        <color rgb="FF000000"/>
        <rFont val="Songti SC Regular"/>
        <charset val="134"/>
      </rPr>
      <t>线缆</t>
    </r>
    <r>
      <rPr>
        <sz val="11"/>
        <color rgb="FF000000"/>
        <rFont val="Times New Roman Regular"/>
        <charset val="134"/>
      </rPr>
      <t>)</t>
    </r>
    <r>
      <rPr>
        <sz val="11"/>
        <color rgb="FF000000"/>
        <rFont val="Songti SC Regular"/>
        <charset val="134"/>
      </rPr>
      <t>、金具、套管、支柱绝缘子、防雷接地系统、防孤岛保护装置、备品备件等等</t>
    </r>
    <r>
      <rPr>
        <sz val="11"/>
        <color rgb="FF000000"/>
        <rFont val="Times New Roman Regular"/>
        <charset val="134"/>
      </rPr>
      <t>)
High voltage system(including but not limited to zinc oxide lightning arresters, voltage transformers, current transformers, coupling
capacitors, wave blockers, isolating switches, high voltage switches,35kV switchgear, prefabricated cabins, grounding transformers and small resistance complete sets of equipment,
busbars, conductors and wires, fittings, lightning protection grounding systems, etc.)</t>
    </r>
  </si>
  <si>
    <r>
      <rPr>
        <sz val="11"/>
        <color rgb="FF000000"/>
        <rFont val="Songti SC Regular"/>
        <charset val="134"/>
      </rPr>
      <t>中压开关及配电箱</t>
    </r>
    <r>
      <rPr>
        <sz val="11"/>
        <color rgb="FF000000"/>
        <rFont val="Times New Roman Regular"/>
        <charset val="134"/>
      </rPr>
      <t>(</t>
    </r>
    <r>
      <rPr>
        <sz val="11"/>
        <color rgb="FF000000"/>
        <rFont val="Songti SC Regular"/>
        <charset val="134"/>
      </rPr>
      <t>柜</t>
    </r>
    <r>
      <rPr>
        <sz val="11"/>
        <color rgb="FF000000"/>
        <rFont val="Times New Roman Regular"/>
        <charset val="134"/>
      </rPr>
      <t>)(</t>
    </r>
    <r>
      <rPr>
        <sz val="11"/>
        <color rgb="FF000000"/>
        <rFont val="Songti SC Regular"/>
        <charset val="134"/>
      </rPr>
      <t>包括但不限于氧化锌避雷器、电压互感器、电流互感器、耦合电容器、阻波器、隔离开关、接地开关、高压开关、</t>
    </r>
    <r>
      <rPr>
        <sz val="11"/>
        <color rgb="FF000000"/>
        <rFont val="Times New Roman Regular"/>
        <charset val="134"/>
      </rPr>
      <t>35kV</t>
    </r>
    <r>
      <rPr>
        <sz val="11"/>
        <color rgb="FF000000"/>
        <rFont val="Songti SC Regular"/>
        <charset val="134"/>
      </rPr>
      <t>开关柜、预制舱室、接地变及小电阻成套装置、母线、导体和导线</t>
    </r>
    <r>
      <rPr>
        <sz val="11"/>
        <color rgb="FF000000"/>
        <rFont val="Times New Roman Regular"/>
        <charset val="134"/>
      </rPr>
      <t>(</t>
    </r>
    <r>
      <rPr>
        <sz val="11"/>
        <color rgb="FF000000"/>
        <rFont val="Songti SC Regular"/>
        <charset val="134"/>
      </rPr>
      <t>线缆</t>
    </r>
    <r>
      <rPr>
        <sz val="11"/>
        <color rgb="FF000000"/>
        <rFont val="Times New Roman Regular"/>
        <charset val="134"/>
      </rPr>
      <t>)</t>
    </r>
    <r>
      <rPr>
        <sz val="11"/>
        <color rgb="FF000000"/>
        <rFont val="Songti SC Regular"/>
        <charset val="134"/>
      </rPr>
      <t>、金具、套管、支柱绝缘子、夹具、防雷接地系统、防孤岛保护装置、备品备件等等</t>
    </r>
    <r>
      <rPr>
        <sz val="11"/>
        <color rgb="FF000000"/>
        <rFont val="Times New Roman Regular"/>
        <charset val="134"/>
      </rPr>
      <t>) 
Medium voltage switch and distribution box (cabinet).(including but not limited to zinc oxide lightning arresters, voltage transformers, current transformers, coupling capacitors, wave blockers, isolating switches, high voltage switches, 35kV switchgear, prefabricated cabins, grounding transformers and small resistance
complete sets of equipment, busbars, conductors and wires, fittings, lightning protection grounding systems, etc.)</t>
    </r>
  </si>
  <si>
    <r>
      <rPr>
        <sz val="11"/>
        <color rgb="FF000000"/>
        <rFont val="Times New Roman Regular"/>
        <charset val="134"/>
      </rPr>
      <t>600MW/750MWp</t>
    </r>
    <r>
      <rPr>
        <sz val="11"/>
        <color rgb="FF000000"/>
        <rFont val="Songti SC Regular"/>
        <charset val="134"/>
      </rPr>
      <t>，</t>
    </r>
    <r>
      <rPr>
        <sz val="11"/>
        <color rgb="FF000000"/>
        <rFont val="Times New Roman Regular"/>
        <charset val="134"/>
      </rPr>
      <t>35KV</t>
    </r>
  </si>
  <si>
    <r>
      <rPr>
        <sz val="11"/>
        <color rgb="FF000000"/>
        <rFont val="Songti SC Regular"/>
        <charset val="134"/>
      </rPr>
      <t>站用变系统</t>
    </r>
    <r>
      <rPr>
        <sz val="11"/>
        <color rgb="FF000000"/>
        <rFont val="Times New Roman Regular"/>
        <charset val="134"/>
      </rPr>
      <t>(</t>
    </r>
    <r>
      <rPr>
        <sz val="11"/>
        <color rgb="FF000000"/>
        <rFont val="Songti SC Regular"/>
        <charset val="134"/>
      </rPr>
      <t>包括但不限于</t>
    </r>
    <r>
      <rPr>
        <sz val="11"/>
        <color rgb="FF000000"/>
        <rFont val="Times New Roman Regular"/>
        <charset val="134"/>
      </rPr>
      <t>:</t>
    </r>
    <r>
      <rPr>
        <sz val="11"/>
        <color rgb="FF000000"/>
        <rFont val="Songti SC Regular"/>
        <charset val="134"/>
      </rPr>
      <t>站用变、</t>
    </r>
    <r>
      <rPr>
        <sz val="11"/>
        <color rgb="FF000000"/>
        <rFont val="Times New Roman Regular"/>
        <charset val="134"/>
      </rPr>
      <t>400V</t>
    </r>
    <r>
      <rPr>
        <sz val="11"/>
        <color rgb="FF000000"/>
        <rFont val="Songti SC Regular"/>
        <charset val="134"/>
      </rPr>
      <t>交流屏柜、柴油发电机、双电源切换装置，对应线缆、桥架、防雷接地等等</t>
    </r>
    <r>
      <rPr>
        <sz val="11"/>
        <color rgb="FF000000"/>
        <rFont val="Times New Roman Regular"/>
        <charset val="134"/>
      </rPr>
      <t>)
Station transformer system (including but not limited to: station transformer,400V AC cabinet, diesel generator, dualpower switching device,corresponding cable tray, etc.)</t>
    </r>
  </si>
  <si>
    <r>
      <rPr>
        <sz val="11"/>
        <color rgb="FF000000"/>
        <rFont val="Times New Roman Regular"/>
        <charset val="134"/>
      </rPr>
      <t>600MW/750MWp</t>
    </r>
    <r>
      <rPr>
        <sz val="11"/>
        <color rgb="FF000000"/>
        <rFont val="Songti SC Regular"/>
        <charset val="134"/>
      </rPr>
      <t>，</t>
    </r>
    <r>
      <rPr>
        <sz val="11"/>
        <color rgb="FF000000"/>
        <rFont val="Times New Roman Regular"/>
        <charset val="134"/>
      </rPr>
      <t>35KV/400V</t>
    </r>
  </si>
  <si>
    <r>
      <rPr>
        <sz val="11"/>
        <color rgb="FF000000"/>
        <rFont val="Songti SC Regular"/>
        <charset val="134"/>
      </rPr>
      <t>二次系统</t>
    </r>
    <r>
      <rPr>
        <sz val="11"/>
        <color rgb="FF000000"/>
        <rFont val="Times New Roman Regular"/>
        <charset val="134"/>
      </rPr>
      <t>(</t>
    </r>
    <r>
      <rPr>
        <sz val="11"/>
        <color rgb="FF000000"/>
        <rFont val="Songti SC Regular"/>
        <charset val="134"/>
      </rPr>
      <t>包括但不限于二次仓、符合当地国家电网要求的各种综合保护系统</t>
    </r>
    <r>
      <rPr>
        <sz val="11"/>
        <color rgb="FF000000"/>
        <rFont val="Times New Roman Regular"/>
        <charset val="134"/>
      </rPr>
      <t xml:space="preserve"> </t>
    </r>
    <r>
      <rPr>
        <sz val="11"/>
        <color rgb="FF000000"/>
        <rFont val="Songti SC Regular"/>
        <charset val="134"/>
      </rPr>
      <t>、监控系统，满足电网验收要求的调度</t>
    </r>
    <r>
      <rPr>
        <sz val="11"/>
        <color rgb="FF000000"/>
        <rFont val="Times New Roman Regular"/>
        <charset val="134"/>
      </rPr>
      <t xml:space="preserve"> </t>
    </r>
    <r>
      <rPr>
        <sz val="11"/>
        <color rgb="FF000000"/>
        <rFont val="Songti SC Regular"/>
        <charset val="134"/>
      </rPr>
      <t>、通讯、自动化系统</t>
    </r>
    <r>
      <rPr>
        <sz val="11"/>
        <color rgb="FF000000"/>
        <rFont val="Times New Roman Regular"/>
        <charset val="134"/>
      </rPr>
      <t>;</t>
    </r>
    <r>
      <rPr>
        <sz val="11"/>
        <color rgb="FF000000"/>
        <rFont val="Songti SC Regular"/>
        <charset val="134"/>
      </rPr>
      <t>以及当地电力部门要求的其他相关内容。上述系统所需的各种设备、材料包括但不限于各种装置</t>
    </r>
    <r>
      <rPr>
        <sz val="11"/>
        <color rgb="FF000000"/>
        <rFont val="Times New Roman Regular"/>
        <charset val="134"/>
      </rPr>
      <t>(</t>
    </r>
    <r>
      <rPr>
        <sz val="11"/>
        <color rgb="FF000000"/>
        <rFont val="Songti SC Regular"/>
        <charset val="134"/>
      </rPr>
      <t>如</t>
    </r>
    <r>
      <rPr>
        <sz val="11"/>
        <color rgb="FF000000"/>
        <rFont val="Times New Roman Regular"/>
        <charset val="134"/>
      </rPr>
      <t xml:space="preserve">ECA </t>
    </r>
    <r>
      <rPr>
        <sz val="11"/>
        <color rgb="FF000000"/>
        <rFont val="Songti SC Regular"/>
        <charset val="134"/>
      </rPr>
      <t>设备等</t>
    </r>
    <r>
      <rPr>
        <sz val="11"/>
        <color rgb="FF000000"/>
        <rFont val="Times New Roman Regular"/>
        <charset val="134"/>
      </rPr>
      <t>)</t>
    </r>
    <r>
      <rPr>
        <sz val="11"/>
        <color rgb="FF000000"/>
        <rFont val="Songti SC Regular"/>
        <charset val="134"/>
      </rPr>
      <t>、仪表、电源、服务器、线缆、工作站、软件等等。</t>
    </r>
    <r>
      <rPr>
        <sz val="11"/>
        <color rgb="FF000000"/>
        <rFont val="Times New Roman Regular"/>
        <charset val="134"/>
      </rPr>
      <t xml:space="preserve">
Secondary equipment (including but not limited to secondary warehouses, various omprehensive
protection systems that meet the requirements of the local national power grid, dispatch, comunication, and automation systems that meet the acceptance requirements of the power grid; and other related content required by the local power department)</t>
    </r>
  </si>
  <si>
    <r>
      <rPr>
        <sz val="11"/>
        <color rgb="FF000000"/>
        <rFont val="Times New Roman Regular"/>
        <charset val="134"/>
      </rPr>
      <t>600MW/750MWp</t>
    </r>
    <r>
      <rPr>
        <sz val="11"/>
        <color rgb="FF000000"/>
        <rFont val="Songti SC Regular"/>
        <charset val="134"/>
      </rPr>
      <t>，</t>
    </r>
    <r>
      <rPr>
        <sz val="11"/>
        <color rgb="FF000000"/>
        <rFont val="Times New Roman Regular"/>
        <charset val="134"/>
      </rPr>
      <t>500KV/35KV</t>
    </r>
  </si>
  <si>
    <r>
      <rPr>
        <sz val="11"/>
        <color rgb="FF000000"/>
        <rFont val="Songti SC Regular"/>
        <charset val="134"/>
      </rPr>
      <t>送出线路</t>
    </r>
    <r>
      <rPr>
        <sz val="11"/>
        <color rgb="FF000000"/>
        <rFont val="Times New Roman Regular"/>
        <charset val="134"/>
      </rPr>
      <t>(</t>
    </r>
    <r>
      <rPr>
        <sz val="11"/>
        <color rgb="FF000000"/>
        <rFont val="Songti SC Regular"/>
        <charset val="134"/>
      </rPr>
      <t>包括但不限于塔材、塔材附件、导线、电缆、通讯线</t>
    </r>
    <r>
      <rPr>
        <sz val="11"/>
        <color rgb="FF000000"/>
        <rFont val="Times New Roman Regular"/>
        <charset val="134"/>
      </rPr>
      <t>(</t>
    </r>
    <r>
      <rPr>
        <sz val="11"/>
        <color rgb="FF000000"/>
        <rFont val="Songti SC Regular"/>
        <charset val="134"/>
      </rPr>
      <t>如</t>
    </r>
    <r>
      <rPr>
        <sz val="11"/>
        <color rgb="FF000000"/>
        <rFont val="Times New Roman Regular"/>
        <charset val="134"/>
      </rPr>
      <t>1OPGW</t>
    </r>
    <r>
      <rPr>
        <sz val="11"/>
        <color rgb="FF000000"/>
        <rFont val="Songti SC Regular"/>
        <charset val="134"/>
      </rPr>
      <t>光缆等</t>
    </r>
    <r>
      <rPr>
        <sz val="11"/>
        <color rgb="FF000000"/>
        <rFont val="Times New Roman Regular"/>
        <charset val="134"/>
      </rPr>
      <t>)</t>
    </r>
    <r>
      <rPr>
        <sz val="11"/>
        <color rgb="FF000000"/>
        <rFont val="Songti SC Regular"/>
        <charset val="134"/>
      </rPr>
      <t>、各种金具、绝缘子、夹具、监测装置、测温装置、防雷接地</t>
    </r>
    <r>
      <rPr>
        <sz val="11"/>
        <color rgb="FF000000"/>
        <rFont val="Times New Roman Regular"/>
        <charset val="134"/>
      </rPr>
      <t>(</t>
    </r>
    <r>
      <rPr>
        <sz val="11"/>
        <color rgb="FF000000"/>
        <rFont val="Songti SC Regular"/>
        <charset val="134"/>
      </rPr>
      <t>含塔体基础部分</t>
    </r>
    <r>
      <rPr>
        <sz val="11"/>
        <color rgb="FF000000"/>
        <rFont val="Times New Roman Regular"/>
        <charset val="134"/>
      </rPr>
      <t>)</t>
    </r>
    <r>
      <rPr>
        <sz val="11"/>
        <color rgb="FF000000"/>
        <rFont val="Songti SC Regular"/>
        <charset val="134"/>
      </rPr>
      <t>等等材料设备的采购安装、调试、测试、验收等</t>
    </r>
    <r>
      <rPr>
        <sz val="11"/>
        <color rgb="FF000000"/>
        <rFont val="Times New Roman Regular"/>
        <charset val="134"/>
      </rPr>
      <t>)
Send out the line (Including but not limited to the procurement, installation, commissioning, testing, and acceptance of materials and equipment such as tower mterials, tower accessories, wiren, cables, communication linen
(such as OPGW optical cablen), various fittings, insulators,fixtures, monitoring devices, temperature measuring devices, lightning protection and grounding (including tower foundation parts), etc)</t>
    </r>
  </si>
  <si>
    <r>
      <rPr>
        <sz val="11"/>
        <color rgb="FF000000"/>
        <rFont val="Songti SC Regular"/>
        <charset val="134"/>
      </rPr>
      <t>光伏区</t>
    </r>
    <r>
      <rPr>
        <sz val="11"/>
        <color rgb="FF000000"/>
        <rFont val="Times New Roman Regular"/>
        <charset val="134"/>
      </rPr>
      <t>35kV</t>
    </r>
    <r>
      <rPr>
        <sz val="11"/>
        <color rgb="FF000000"/>
        <rFont val="Songti SC Regular"/>
        <charset val="134"/>
      </rPr>
      <t>集电线路</t>
    </r>
    <r>
      <rPr>
        <sz val="11"/>
        <color rgb="FF000000"/>
        <rFont val="Times New Roman Regular"/>
        <charset val="134"/>
      </rPr>
      <t xml:space="preserve">
10 Current collection line in photovoltaic area</t>
    </r>
  </si>
  <si>
    <r>
      <rPr>
        <sz val="11"/>
        <color rgb="FF000000"/>
        <rFont val="Songti SC Regular"/>
        <charset val="134"/>
      </rPr>
      <t>升压站及送出工程的全部勘察设计，图纸翻译，包含中国具有资质的第三方设计咨询单位审图并审图合格及设计图纸的公证</t>
    </r>
    <r>
      <rPr>
        <sz val="11"/>
        <color rgb="FF000000"/>
        <rFont val="Times New Roman Regular"/>
        <charset val="134"/>
      </rPr>
      <t xml:space="preserve">
All survey and design of the booster station and transmission project, translation of drawings, including review and approval of drawings by qualified third-party design consulting firms in China, and notarization of design drawings</t>
    </r>
  </si>
  <si>
    <r>
      <rPr>
        <sz val="11"/>
        <color rgb="FF000000"/>
        <rFont val="Songti SC Regular"/>
        <charset val="134"/>
      </rPr>
      <t>通信工程</t>
    </r>
    <r>
      <rPr>
        <sz val="11"/>
        <color rgb="FF000000"/>
        <rFont val="Times New Roman Regular"/>
        <charset val="134"/>
      </rPr>
      <t xml:space="preserve">
Communication Engineering</t>
    </r>
  </si>
  <si>
    <r>
      <rPr>
        <sz val="11"/>
        <color rgb="FF000000"/>
        <rFont val="Songti SC Regular"/>
        <charset val="134"/>
      </rPr>
      <t>变电站站内所有安装工程</t>
    </r>
    <r>
      <rPr>
        <sz val="11"/>
        <color rgb="FF000000"/>
        <rFont val="Times New Roman Regular"/>
        <charset val="134"/>
      </rPr>
      <t>(</t>
    </r>
    <r>
      <rPr>
        <sz val="11"/>
        <color rgb="FF000000"/>
        <rFont val="Songti SC Regular"/>
        <charset val="134"/>
      </rPr>
      <t>含材料</t>
    </r>
    <r>
      <rPr>
        <sz val="11"/>
        <color rgb="FF000000"/>
        <rFont val="Times New Roman Regular"/>
        <charset val="134"/>
      </rPr>
      <t>)
All installation works (including materials) within the substation</t>
    </r>
  </si>
  <si>
    <r>
      <rPr>
        <sz val="11"/>
        <color rgb="FF000000"/>
        <rFont val="Songti SC Regular"/>
        <charset val="134"/>
      </rPr>
      <t>送出线路所有安装工程</t>
    </r>
    <r>
      <rPr>
        <sz val="11"/>
        <color rgb="FF000000"/>
        <rFont val="Times New Roman Regular"/>
        <charset val="134"/>
      </rPr>
      <t>(</t>
    </r>
    <r>
      <rPr>
        <sz val="11"/>
        <color rgb="FF000000"/>
        <rFont val="Songti SC Regular"/>
        <charset val="134"/>
      </rPr>
      <t>含材料</t>
    </r>
    <r>
      <rPr>
        <sz val="11"/>
        <color rgb="FF000000"/>
        <rFont val="Times New Roman Regular"/>
        <charset val="134"/>
      </rPr>
      <t>)
All installation works (including materials) for the transmission line</t>
    </r>
  </si>
  <si>
    <r>
      <rPr>
        <sz val="11"/>
        <color rgb="FF000000"/>
        <rFont val="Songti SC Regular"/>
        <charset val="134"/>
      </rPr>
      <t>储能系统所有安装工程</t>
    </r>
    <r>
      <rPr>
        <sz val="11"/>
        <color rgb="FF000000"/>
        <rFont val="Times New Roman Regular"/>
        <charset val="134"/>
      </rPr>
      <t>(</t>
    </r>
    <r>
      <rPr>
        <sz val="11"/>
        <color rgb="FF000000"/>
        <rFont val="Songti SC Regular"/>
        <charset val="134"/>
      </rPr>
      <t>包括但不限于</t>
    </r>
    <r>
      <rPr>
        <sz val="11"/>
        <color rgb="FF000000"/>
        <rFont val="Times New Roman Regular"/>
        <charset val="134"/>
      </rPr>
      <t xml:space="preserve">
</t>
    </r>
    <r>
      <rPr>
        <sz val="11"/>
        <color rgb="FF000000"/>
        <rFont val="Songti SC Regular"/>
        <charset val="134"/>
      </rPr>
      <t>线缆、接地材料的采购、安装调试</t>
    </r>
    <r>
      <rPr>
        <sz val="11"/>
        <color rgb="FF000000"/>
        <rFont val="Times New Roman Regular"/>
        <charset val="134"/>
      </rPr>
      <t>)
A11 installation works of energy storage system(Including but not limited to the procurement, installation, and commissioning of cables and grounding matorials)</t>
    </r>
  </si>
  <si>
    <t>180MW/360MWh</t>
  </si>
  <si>
    <r>
      <rPr>
        <sz val="11"/>
        <color rgb="FF000000"/>
        <rFont val="Songti SC Regular"/>
        <charset val="134"/>
      </rPr>
      <t>对端改造工程设计指导</t>
    </r>
    <r>
      <rPr>
        <sz val="11"/>
        <color rgb="FF000000"/>
        <rFont val="Times New Roman Regular"/>
        <charset val="134"/>
      </rPr>
      <t xml:space="preserve">
Design guidance for ond-to-end renovation project</t>
    </r>
  </si>
  <si>
    <r>
      <rPr>
        <sz val="11"/>
        <color rgb="FF000000"/>
        <rFont val="Songti SC Regular"/>
        <charset val="134"/>
      </rPr>
      <t>升压站站内所有设备系统调试测试</t>
    </r>
    <r>
      <rPr>
        <sz val="11"/>
        <color rgb="FF000000"/>
        <rFont val="Times New Roman Regular"/>
        <charset val="134"/>
      </rPr>
      <t xml:space="preserve">
Debugging and testing of all equipment systems within the booster station</t>
    </r>
  </si>
  <si>
    <t>600MW/750MWp,
500KV/35KV/400V</t>
  </si>
  <si>
    <r>
      <rPr>
        <sz val="11"/>
        <color rgb="FF000000"/>
        <rFont val="Songti SC Regular"/>
        <charset val="134"/>
      </rPr>
      <t>光伏场区所有设备系统调试测试</t>
    </r>
    <r>
      <rPr>
        <sz val="11"/>
        <color rgb="FF000000"/>
        <rFont val="Times New Roman Regular"/>
        <charset val="134"/>
      </rPr>
      <t xml:space="preserve">
Debugging and testing of all equipment systems in the photovoltaic field area</t>
    </r>
  </si>
  <si>
    <t>600MW/750MWp,35KV/480V</t>
  </si>
  <si>
    <r>
      <rPr>
        <sz val="11"/>
        <color rgb="FF000000"/>
        <rFont val="Songti SC Regular"/>
        <charset val="134"/>
      </rPr>
      <t>外线及对端所有设备系统调试测试</t>
    </r>
    <r>
      <rPr>
        <sz val="11"/>
        <color rgb="FF000000"/>
        <rFont val="Times New Roman Regular"/>
        <charset val="134"/>
      </rPr>
      <t xml:space="preserve">
Debugging and testing of all equipment systems on external lines and on the other end</t>
    </r>
  </si>
  <si>
    <r>
      <rPr>
        <sz val="11"/>
        <color rgb="FF000000"/>
        <rFont val="Songti SC Regular"/>
        <charset val="134"/>
      </rPr>
      <t>升压站机电系统，升压站内所有机电系统所有设备、材料的采购及安装。暖通部分包括但不限于采暖系统、空调系统、送排风系统、防排烟系统、事故排风系统</t>
    </r>
    <r>
      <rPr>
        <sz val="11"/>
        <color rgb="FF000000"/>
        <rFont val="Times New Roman Regular"/>
        <charset val="134"/>
      </rPr>
      <t>:</t>
    </r>
    <r>
      <rPr>
        <sz val="11"/>
        <color rgb="FF000000"/>
        <rFont val="Songti SC Regular"/>
        <charset val="134"/>
      </rPr>
      <t>给排水系统包括不限于给水、排水、污水、消防水系统、灭火器等等</t>
    </r>
    <r>
      <rPr>
        <sz val="11"/>
        <color rgb="FF000000"/>
        <rFont val="Times New Roman Regular"/>
        <charset val="134"/>
      </rPr>
      <t>;</t>
    </r>
    <r>
      <rPr>
        <sz val="11"/>
        <color rgb="FF000000"/>
        <rFont val="Songti SC Regular"/>
        <charset val="134"/>
      </rPr>
      <t>电气系统包括但不限于照明</t>
    </r>
    <r>
      <rPr>
        <sz val="11"/>
        <color rgb="FF000000"/>
        <rFont val="Times New Roman Regular"/>
        <charset val="134"/>
      </rPr>
      <t>(</t>
    </r>
    <r>
      <rPr>
        <sz val="11"/>
        <color rgb="FF000000"/>
        <rFont val="Songti SC Regular"/>
        <charset val="134"/>
      </rPr>
      <t>含室外照明</t>
    </r>
    <r>
      <rPr>
        <sz val="11"/>
        <color rgb="FF000000"/>
        <rFont val="Times New Roman Regular"/>
        <charset val="134"/>
      </rPr>
      <t>)</t>
    </r>
    <r>
      <rPr>
        <sz val="11"/>
        <color rgb="FF000000"/>
        <rFont val="Songti SC Regular"/>
        <charset val="134"/>
      </rPr>
      <t>、插座、设备配电、应急照明系统、</t>
    </r>
    <r>
      <rPr>
        <sz val="11"/>
        <color rgb="FF000000"/>
        <rFont val="Times New Roman Regular"/>
        <charset val="134"/>
      </rPr>
      <t>20</t>
    </r>
    <r>
      <rPr>
        <sz val="11"/>
        <color rgb="FF000000"/>
        <rFont val="Songti SC Regular"/>
        <charset val="134"/>
      </rPr>
      <t>防雷接地系统</t>
    </r>
    <r>
      <rPr>
        <sz val="11"/>
        <color rgb="FF000000"/>
        <rFont val="Times New Roman Regular"/>
        <charset val="134"/>
      </rPr>
      <t>;</t>
    </r>
    <r>
      <rPr>
        <sz val="11"/>
        <color rgb="FF000000"/>
        <rFont val="Songti SC Regular"/>
        <charset val="134"/>
      </rPr>
      <t>消防系统包括但不限于水消防系统、气体灭火系统、防排烟系统、火灾报警等等。视频监控系统能够满足光伏区</t>
    </r>
    <r>
      <rPr>
        <sz val="11"/>
        <color rgb="FF000000"/>
        <rFont val="Times New Roman Regular"/>
        <charset val="134"/>
      </rPr>
      <t>300</t>
    </r>
    <r>
      <rPr>
        <sz val="11"/>
        <color rgb="FF000000"/>
        <rFont val="Songti SC Regular"/>
        <charset val="134"/>
      </rPr>
      <t>个监控点位的接入要求，并配置显示屏，存储时间为一个月</t>
    </r>
    <r>
      <rPr>
        <sz val="11"/>
        <color rgb="FF000000"/>
        <rFont val="Times New Roman Regular"/>
        <charset val="134"/>
      </rPr>
      <t xml:space="preserve">
The procurement and installation of all equipment and materials for the mechanical and electrical systems in the booster station. The HVAC system includes but is not limited to heating system, air conditioning system, supply and exhaust system, smoke control system, and emergency exhaust system; The water supply
and drainage system includes but is not limited to water supply, drainage, fire water system, fire
extinguishers, etc; The electrical system includes but is not limited to lighting, sockets, equipment
distribution, emergency lighting system, lightning protection and grounding system; The fire protection system includes but is not limited to water fire protection system, gas fire extinguishing system, smoke control system, fire alarm system, etc. The video surveillance system can meet the access requirements of 300 monitoring points in the photovoltaic area,and is equipped with a display screen with a storage time of one mont</t>
    </r>
  </si>
  <si>
    <r>
      <rPr>
        <sz val="11"/>
        <color rgb="FF000000"/>
        <rFont val="Songti SC Regular"/>
        <charset val="134"/>
      </rPr>
      <t>满足并网发电验收条件的其他工程</t>
    </r>
    <r>
      <rPr>
        <sz val="11"/>
        <color rgb="FF000000"/>
        <rFont val="Times New Roman Regular"/>
        <charset val="134"/>
      </rPr>
      <t>(</t>
    </r>
    <r>
      <rPr>
        <sz val="11"/>
        <color rgb="FF000000"/>
        <rFont val="Songti SC Regular"/>
        <charset val="134"/>
      </rPr>
      <t>包括但不限于国内工厂监造及材料出厂试验</t>
    </r>
    <r>
      <rPr>
        <sz val="11"/>
        <color rgb="FF000000"/>
        <rFont val="Times New Roman Regular"/>
        <charset val="134"/>
      </rPr>
      <t>)
Other projects that meet the acceptance criteria for grid connected power generation (Includi
ng but not limited to domestic factory upervision and material factory testing)</t>
    </r>
  </si>
  <si>
    <r>
      <rPr>
        <sz val="11"/>
        <color rgb="FF000000"/>
        <rFont val="Songti SC Regular"/>
        <charset val="134"/>
      </rPr>
      <t>签证费、交通费等</t>
    </r>
    <r>
      <rPr>
        <sz val="11"/>
        <color rgb="FF000000"/>
        <rFont val="Times New Roman Regular"/>
        <charset val="134"/>
      </rPr>
      <t xml:space="preserve">
Visa fees, transportation fees, etc</t>
    </r>
  </si>
  <si>
    <r>
      <rPr>
        <sz val="11"/>
        <color rgb="FF000000"/>
        <rFont val="Songti SC Regular"/>
        <charset val="134"/>
      </rPr>
      <t>合计</t>
    </r>
    <r>
      <rPr>
        <sz val="11"/>
        <color rgb="FF000000"/>
        <rFont val="Times New Roman Regular"/>
        <charset val="134"/>
      </rPr>
      <t>(</t>
    </r>
    <r>
      <rPr>
        <sz val="11"/>
        <color rgb="FF000000"/>
        <rFont val="Songti SC Regular"/>
        <charset val="134"/>
      </rPr>
      <t>三</t>
    </r>
    <r>
      <rPr>
        <sz val="11"/>
        <color rgb="FF000000"/>
        <rFont val="Times New Roman Regular"/>
        <charset val="134"/>
      </rPr>
      <t>)
Total(III)</t>
    </r>
  </si>
  <si>
    <r>
      <rPr>
        <sz val="11"/>
        <color rgb="FF000000"/>
        <rFont val="Songti SC Regular"/>
        <charset val="134"/>
      </rPr>
      <t>四</t>
    </r>
    <r>
      <rPr>
        <sz val="11"/>
        <color rgb="FF000000"/>
        <rFont val="Times New Roman Regular"/>
        <charset val="134"/>
      </rPr>
      <t xml:space="preserve"> 
IV</t>
    </r>
  </si>
  <si>
    <r>
      <rPr>
        <sz val="11"/>
        <color rgb="FF000000"/>
        <rFont val="Songti SC Regular"/>
        <charset val="134"/>
      </rPr>
      <t>天津十一中际科技有限公司</t>
    </r>
  </si>
  <si>
    <r>
      <rPr>
        <sz val="11"/>
        <color rgb="FF000000"/>
        <rFont val="Songti SC Regular"/>
        <charset val="134"/>
      </rPr>
      <t>组件</t>
    </r>
    <r>
      <rPr>
        <sz val="11"/>
        <color rgb="FF000000"/>
        <rFont val="Times New Roman Regular"/>
        <charset val="134"/>
      </rPr>
      <t>(</t>
    </r>
    <r>
      <rPr>
        <sz val="11"/>
        <color rgb="FF000000"/>
        <rFont val="Songti SC Regular"/>
        <charset val="134"/>
      </rPr>
      <t>损耗率按</t>
    </r>
    <r>
      <rPr>
        <sz val="11"/>
        <color rgb="FF000000"/>
        <rFont val="Times New Roman Regular"/>
        <charset val="134"/>
      </rPr>
      <t>1%</t>
    </r>
    <r>
      <rPr>
        <sz val="11"/>
        <color rgb="FF000000"/>
        <rFont val="Songti SC Regular"/>
        <charset val="134"/>
      </rPr>
      <t>计算</t>
    </r>
    <r>
      <rPr>
        <sz val="11"/>
        <color rgb="FF000000"/>
        <rFont val="Times New Roman Regular"/>
        <charset val="134"/>
      </rPr>
      <t>) Photovoltaic modules (The loss rate is calculated at 1%)</t>
    </r>
  </si>
  <si>
    <r>
      <rPr>
        <sz val="11"/>
        <color rgb="FF000000"/>
        <rFont val="Times New Roman Regular"/>
        <charset val="134"/>
      </rPr>
      <t>720Wp</t>
    </r>
    <r>
      <rPr>
        <sz val="11"/>
        <color rgb="FF000000"/>
        <rFont val="Songti SC Regular"/>
        <charset val="134"/>
      </rPr>
      <t>双面双玻单晶硅光伏组</t>
    </r>
    <r>
      <rPr>
        <sz val="11"/>
        <color rgb="FF000000"/>
        <rFont val="Times New Roman Regular"/>
        <charset val="134"/>
      </rPr>
      <t xml:space="preserve">
</t>
    </r>
    <r>
      <rPr>
        <sz val="11"/>
        <color rgb="FF000000"/>
        <rFont val="Songti SC Regular"/>
        <charset val="134"/>
      </rPr>
      <t>件、满足</t>
    </r>
    <r>
      <rPr>
        <sz val="11"/>
        <color rgb="FF000000"/>
        <rFont val="Times New Roman Regular"/>
        <charset val="134"/>
      </rPr>
      <t>IEC</t>
    </r>
    <r>
      <rPr>
        <sz val="11"/>
        <color rgb="FF000000"/>
        <rFont val="Songti SC Regular"/>
        <charset val="134"/>
      </rPr>
      <t>标准</t>
    </r>
    <r>
      <rPr>
        <sz val="11"/>
        <color rgb="FF000000"/>
        <rFont val="Times New Roman Regular"/>
        <charset val="134"/>
      </rPr>
      <t>/TUV</t>
    </r>
    <r>
      <rPr>
        <sz val="11"/>
        <color rgb="FF000000"/>
        <rFont val="Songti SC Regular"/>
        <charset val="134"/>
      </rPr>
      <t>认证。</t>
    </r>
    <r>
      <rPr>
        <sz val="11"/>
        <color rgb="FF000000"/>
        <rFont val="Times New Roman Regular"/>
        <charset val="134"/>
      </rPr>
      <t xml:space="preserve">
720Wp double-sided double glass monocrystalline silicon photovoltaic
module, meeting IEC standards/TUV certification.</t>
    </r>
  </si>
  <si>
    <r>
      <rPr>
        <sz val="11"/>
        <color rgb="FF000000"/>
        <rFont val="宋体-简"/>
        <charset val="134"/>
      </rPr>
      <t>所有税金</t>
    </r>
    <r>
      <rPr>
        <sz val="11"/>
        <color rgb="FF000000"/>
        <rFont val="Times New Roman Regular"/>
        <charset val="134"/>
      </rPr>
      <t>(</t>
    </r>
    <r>
      <rPr>
        <sz val="11"/>
        <color rgb="FF000000"/>
        <rFont val="宋体-简"/>
        <charset val="134"/>
      </rPr>
      <t>境内境外</t>
    </r>
    <r>
      <rPr>
        <sz val="11"/>
        <color rgb="FF000000"/>
        <rFont val="Times New Roman Regular"/>
        <charset val="134"/>
      </rPr>
      <t>)</t>
    </r>
    <r>
      <rPr>
        <sz val="11"/>
        <color rgb="FF000000"/>
        <rFont val="宋体-简"/>
        <charset val="134"/>
      </rPr>
      <t>、报关费、管理费、利润均包含在单价和合价之内。</t>
    </r>
    <r>
      <rPr>
        <sz val="11"/>
        <color rgb="FF000000"/>
        <rFont val="Times New Roman Regular"/>
        <charset val="134"/>
      </rPr>
      <t xml:space="preserve">
Al1 taxes (domestic and overseas), customs clearance fees, management fees, and profits are in the unit price and total price.</t>
    </r>
  </si>
  <si>
    <r>
      <rPr>
        <sz val="11"/>
        <color rgb="FF000000"/>
        <rFont val="Songti SC Regular"/>
        <charset val="134"/>
      </rPr>
      <t>下部支架桩基础采购</t>
    </r>
    <r>
      <rPr>
        <sz val="11"/>
        <color rgb="FF000000"/>
        <rFont val="Times New Roman Regular"/>
        <charset val="134"/>
      </rPr>
      <t>(</t>
    </r>
    <r>
      <rPr>
        <sz val="11"/>
        <color rgb="FF000000"/>
        <rFont val="Songti SC Regular"/>
        <charset val="134"/>
      </rPr>
      <t>损耗率按</t>
    </r>
    <r>
      <rPr>
        <sz val="11"/>
        <color rgb="FF000000"/>
        <rFont val="Times New Roman Regular"/>
        <charset val="134"/>
      </rPr>
      <t>1%</t>
    </r>
    <r>
      <rPr>
        <sz val="11"/>
        <color rgb="FF000000"/>
        <rFont val="Songti SC Regular"/>
        <charset val="134"/>
      </rPr>
      <t>计算</t>
    </r>
    <r>
      <rPr>
        <sz val="11"/>
        <color rgb="FF000000"/>
        <rFont val="Times New Roman Regular"/>
        <charset val="134"/>
      </rPr>
      <t>)
The bottom bracket pile foundation (The loss rate is calculated at 1%)</t>
    </r>
  </si>
  <si>
    <r>
      <rPr>
        <sz val="11"/>
        <color rgb="FF000000"/>
        <rFont val="Songti SC Regular"/>
        <charset val="134"/>
      </rPr>
      <t>下部支架钢管桩基础采购</t>
    </r>
    <r>
      <rPr>
        <sz val="11"/>
        <color rgb="FF000000"/>
        <rFont val="Times New Roman Regular"/>
        <charset val="134"/>
      </rPr>
      <t xml:space="preserve">
The bottom bracket steel pile foundation</t>
    </r>
  </si>
  <si>
    <r>
      <rPr>
        <sz val="11"/>
        <color rgb="FF000000"/>
        <rFont val="Songti SC Regular"/>
        <charset val="134"/>
      </rPr>
      <t>上部支架</t>
    </r>
    <r>
      <rPr>
        <sz val="11"/>
        <color rgb="FF000000"/>
        <rFont val="Times New Roman Regular"/>
        <charset val="134"/>
      </rPr>
      <t>(</t>
    </r>
    <r>
      <rPr>
        <sz val="11"/>
        <color rgb="FF000000"/>
        <rFont val="Songti SC Regular"/>
        <charset val="134"/>
      </rPr>
      <t>损耗率按</t>
    </r>
    <r>
      <rPr>
        <sz val="11"/>
        <color rgb="FF000000"/>
        <rFont val="Times New Roman Regular"/>
        <charset val="134"/>
      </rPr>
      <t>1%</t>
    </r>
    <r>
      <rPr>
        <sz val="11"/>
        <color rgb="FF000000"/>
        <rFont val="Songti SC Regular"/>
        <charset val="134"/>
      </rPr>
      <t>计算</t>
    </r>
    <r>
      <rPr>
        <sz val="11"/>
        <color rgb="FF000000"/>
        <rFont val="Times New Roman Regular"/>
        <charset val="134"/>
      </rPr>
      <t>) 
The top bracket (The loss rate is calculated at 1%)</t>
    </r>
  </si>
  <si>
    <r>
      <rPr>
        <sz val="11"/>
        <color rgb="FF000000"/>
        <rFont val="Songti SC Regular"/>
        <charset val="134"/>
      </rPr>
      <t>线缆</t>
    </r>
    <r>
      <rPr>
        <sz val="11"/>
        <color rgb="FF000000"/>
        <rFont val="Times New Roman Regular"/>
        <charset val="134"/>
      </rPr>
      <t>(</t>
    </r>
    <r>
      <rPr>
        <sz val="11"/>
        <color rgb="FF000000"/>
        <rFont val="Songti SC Regular"/>
        <charset val="134"/>
      </rPr>
      <t>损耗率按</t>
    </r>
    <r>
      <rPr>
        <sz val="11"/>
        <color rgb="FF000000"/>
        <rFont val="Times New Roman Regular"/>
        <charset val="134"/>
      </rPr>
      <t>1%</t>
    </r>
    <r>
      <rPr>
        <sz val="11"/>
        <color rgb="FF000000"/>
        <rFont val="Songti SC Regular"/>
        <charset val="134"/>
      </rPr>
      <t>计算</t>
    </r>
    <r>
      <rPr>
        <sz val="11"/>
        <color rgb="FF000000"/>
        <rFont val="Times New Roman Regular"/>
        <charset val="134"/>
      </rPr>
      <t>)
Cables (The loss rate is calculated
at 1%)</t>
    </r>
  </si>
  <si>
    <r>
      <rPr>
        <sz val="11"/>
        <color rgb="FF000000"/>
        <rFont val="Songti SC Regular"/>
        <charset val="134"/>
      </rPr>
      <t>光伏电缆</t>
    </r>
    <r>
      <rPr>
        <sz val="11"/>
        <color rgb="FF000000"/>
        <rFont val="Times New Roman Regular"/>
        <charset val="134"/>
      </rPr>
      <t>(</t>
    </r>
    <r>
      <rPr>
        <sz val="11"/>
        <color rgb="FF000000"/>
        <rFont val="Songti SC Regular"/>
        <charset val="134"/>
      </rPr>
      <t>铜</t>
    </r>
    <r>
      <rPr>
        <sz val="11"/>
        <color rgb="FF000000"/>
        <rFont val="Times New Roman Regular"/>
        <charset val="134"/>
      </rPr>
      <t>1*4mm)</t>
    </r>
    <r>
      <rPr>
        <sz val="11"/>
        <color rgb="FF000000"/>
        <rFont val="Songti SC Regular"/>
        <charset val="134"/>
      </rPr>
      <t>、低压直流</t>
    </r>
    <r>
      <rPr>
        <sz val="11"/>
        <color rgb="FF000000"/>
        <rFont val="Times New Roman Regular"/>
        <charset val="134"/>
      </rPr>
      <t>(</t>
    </r>
    <r>
      <rPr>
        <sz val="11"/>
        <color rgb="FF000000"/>
        <rFont val="Songti SC Regular"/>
        <charset val="134"/>
      </rPr>
      <t>铝合金</t>
    </r>
    <r>
      <rPr>
        <sz val="11"/>
        <color rgb="FF000000"/>
        <rFont val="Times New Roman Regular"/>
        <charset val="134"/>
      </rPr>
      <t>)</t>
    </r>
    <r>
      <rPr>
        <sz val="11"/>
        <color rgb="FF000000"/>
        <rFont val="Songti SC Regular"/>
        <charset val="134"/>
      </rPr>
      <t>、高压电缆</t>
    </r>
    <r>
      <rPr>
        <sz val="11"/>
        <color rgb="FF000000"/>
        <rFont val="Times New Roman Regular"/>
        <charset val="134"/>
      </rPr>
      <t>(</t>
    </r>
    <r>
      <rPr>
        <sz val="11"/>
        <color rgb="FF000000"/>
        <rFont val="Songti SC Regular"/>
        <charset val="134"/>
      </rPr>
      <t>铝合金</t>
    </r>
    <r>
      <rPr>
        <sz val="11"/>
        <color rgb="FF000000"/>
        <rFont val="Times New Roman Regular"/>
        <charset val="134"/>
      </rPr>
      <t>)</t>
    </r>
    <r>
      <rPr>
        <sz val="11"/>
        <color rgb="FF000000"/>
        <rFont val="Songti SC Regular"/>
        <charset val="134"/>
      </rPr>
      <t>、光纤</t>
    </r>
    <r>
      <rPr>
        <sz val="11"/>
        <color rgb="FF000000"/>
        <rFont val="Times New Roman Regular"/>
        <charset val="134"/>
      </rPr>
      <t xml:space="preserve">
Photovoltaic cable (copper 1*4mm2)</t>
    </r>
    <r>
      <rPr>
        <sz val="11"/>
        <color rgb="FF000000"/>
        <rFont val="Songti SC Regular"/>
        <charset val="134"/>
      </rPr>
      <t>，</t>
    </r>
    <r>
      <rPr>
        <sz val="11"/>
        <color rgb="FF000000"/>
        <rFont val="Times New Roman Regular"/>
        <charset val="134"/>
      </rPr>
      <t xml:space="preserve"> low voltage DC (aluminum alloy), high
voltage cable (aluminum alloy),optical fiber</t>
    </r>
  </si>
  <si>
    <r>
      <rPr>
        <sz val="11"/>
        <color rgb="FF000000"/>
        <rFont val="Songti SC Regular"/>
        <charset val="134"/>
      </rPr>
      <t>汇流箱</t>
    </r>
    <r>
      <rPr>
        <sz val="11"/>
        <color rgb="FF000000"/>
        <rFont val="Times New Roman Regular"/>
        <charset val="134"/>
      </rPr>
      <t>(</t>
    </r>
    <r>
      <rPr>
        <sz val="11"/>
        <color rgb="FF000000"/>
        <rFont val="Songti SC Regular"/>
        <charset val="134"/>
      </rPr>
      <t>损耗率按</t>
    </r>
    <r>
      <rPr>
        <sz val="11"/>
        <color rgb="FF000000"/>
        <rFont val="Times New Roman Regular"/>
        <charset val="134"/>
      </rPr>
      <t>1%</t>
    </r>
    <r>
      <rPr>
        <sz val="11"/>
        <color rgb="FF000000"/>
        <rFont val="Songti SC Regular"/>
        <charset val="134"/>
      </rPr>
      <t>计算</t>
    </r>
    <r>
      <rPr>
        <sz val="11"/>
        <color rgb="FF000000"/>
        <rFont val="Times New Roman Regular"/>
        <charset val="134"/>
      </rPr>
      <t>)
Combiner box (The loss rate is calculated at2%)</t>
    </r>
  </si>
  <si>
    <r>
      <rPr>
        <sz val="11"/>
        <color rgb="FF000000"/>
        <rFont val="Songti SC Regular"/>
        <charset val="134"/>
      </rPr>
      <t>智能防雷汇流箱</t>
    </r>
    <r>
      <rPr>
        <sz val="11"/>
        <color rgb="FF000000"/>
        <rFont val="Times New Roman Regular"/>
        <charset val="134"/>
      </rPr>
      <t xml:space="preserve">
Intelligent lightning
protection combiner box</t>
    </r>
  </si>
  <si>
    <r>
      <rPr>
        <sz val="11"/>
        <color rgb="FF000000"/>
        <rFont val="Songti SC Regular"/>
        <charset val="134"/>
      </rPr>
      <t>箱逆变一体机</t>
    </r>
    <r>
      <rPr>
        <sz val="11"/>
        <color rgb="FF000000"/>
        <rFont val="Times New Roman Regular"/>
        <charset val="134"/>
      </rPr>
      <t xml:space="preserve">
Integrated box-type transformer and inverter</t>
    </r>
  </si>
  <si>
    <r>
      <rPr>
        <sz val="11"/>
        <color rgb="FF000000"/>
        <rFont val="Times New Roman Regular"/>
        <charset val="134"/>
      </rPr>
      <t>35kV</t>
    </r>
    <r>
      <rPr>
        <sz val="11"/>
        <color rgb="FF000000"/>
        <rFont val="Songti SC Regular"/>
        <charset val="134"/>
      </rPr>
      <t>、</t>
    </r>
    <r>
      <rPr>
        <sz val="11"/>
        <color rgb="FF000000"/>
        <rFont val="Times New Roman Regular"/>
        <charset val="134"/>
      </rPr>
      <t>IP65</t>
    </r>
    <r>
      <rPr>
        <sz val="11"/>
        <color rgb="FF000000"/>
        <rFont val="Songti SC Regular"/>
        <charset val="134"/>
      </rPr>
      <t>、效率大于</t>
    </r>
    <r>
      <rPr>
        <sz val="11"/>
        <color rgb="FF000000"/>
        <rFont val="Times New Roman Regular"/>
        <charset val="134"/>
      </rPr>
      <t>99%</t>
    </r>
    <r>
      <rPr>
        <sz val="11"/>
        <color rgb="FF000000"/>
        <rFont val="Songti SC Regular"/>
        <charset val="134"/>
      </rPr>
      <t>、满足</t>
    </r>
    <r>
      <rPr>
        <sz val="11"/>
        <color rgb="FF000000"/>
        <rFont val="Times New Roman Regular"/>
        <charset val="134"/>
      </rPr>
      <t>IEC</t>
    </r>
    <r>
      <rPr>
        <sz val="11"/>
        <color rgb="FF000000"/>
        <rFont val="Songti SC Regular"/>
        <charset val="134"/>
      </rPr>
      <t>标准</t>
    </r>
    <r>
      <rPr>
        <sz val="11"/>
        <color rgb="FF000000"/>
        <rFont val="Times New Roman Regular"/>
        <charset val="134"/>
      </rPr>
      <t>/TUV</t>
    </r>
    <r>
      <rPr>
        <sz val="11"/>
        <color rgb="FF000000"/>
        <rFont val="Songti SC Regular"/>
        <charset val="134"/>
      </rPr>
      <t>认证</t>
    </r>
    <r>
      <rPr>
        <sz val="11"/>
        <color rgb="FF000000"/>
        <rFont val="Times New Roman Regular"/>
        <charset val="134"/>
      </rPr>
      <t xml:space="preserve">
35kV</t>
    </r>
    <r>
      <rPr>
        <sz val="11"/>
        <color rgb="FF000000"/>
        <rFont val="Songti SC Regular"/>
        <charset val="134"/>
      </rPr>
      <t>，</t>
    </r>
    <r>
      <rPr>
        <sz val="11"/>
        <color rgb="FF000000"/>
        <rFont val="Times New Roman Regular"/>
        <charset val="134"/>
      </rPr>
      <t>IP65, with efficiency greater than 99%, meeting the IEC standard /TUV certification</t>
    </r>
  </si>
  <si>
    <r>
      <rPr>
        <sz val="11"/>
        <color rgb="FF000000"/>
        <rFont val="Songti SC Regular"/>
        <charset val="134"/>
      </rPr>
      <t>储能设备采购费</t>
    </r>
    <r>
      <rPr>
        <sz val="11"/>
        <color rgb="FF000000"/>
        <rFont val="Times New Roman Regular"/>
        <charset val="134"/>
      </rPr>
      <t xml:space="preserve">
Energy storage equipment fee</t>
    </r>
  </si>
  <si>
    <t>MWh</t>
  </si>
  <si>
    <r>
      <rPr>
        <sz val="11"/>
        <color rgb="FF000000"/>
        <rFont val="Songti SC Regular"/>
        <charset val="134"/>
      </rPr>
      <t>储能设备运输</t>
    </r>
    <r>
      <rPr>
        <sz val="11"/>
        <color rgb="FF000000"/>
        <rFont val="Times New Roman Regular"/>
        <charset val="134"/>
      </rPr>
      <t xml:space="preserve">
Energy storage equipment Freight fee</t>
    </r>
  </si>
  <si>
    <r>
      <rPr>
        <sz val="11"/>
        <color rgb="FF000000"/>
        <rFont val="Songti SC Regular"/>
        <charset val="134"/>
      </rPr>
      <t>合计</t>
    </r>
    <r>
      <rPr>
        <sz val="11"/>
        <color rgb="FF000000"/>
        <rFont val="Times New Roman Regular"/>
        <charset val="134"/>
      </rPr>
      <t>(</t>
    </r>
    <r>
      <rPr>
        <sz val="11"/>
        <color rgb="FF000000"/>
        <rFont val="Songti SC Regular"/>
        <charset val="134"/>
      </rPr>
      <t>四</t>
    </r>
    <r>
      <rPr>
        <sz val="11"/>
        <color rgb="FF000000"/>
        <rFont val="Times New Roman Regular"/>
        <charset val="134"/>
      </rPr>
      <t>)
Total(IV)</t>
    </r>
  </si>
  <si>
    <t>五
V</t>
  </si>
  <si>
    <r>
      <rPr>
        <sz val="11"/>
        <color rgb="FF000000"/>
        <rFont val="Songti SC Regular"/>
        <charset val="134"/>
      </rPr>
      <t>中国地质工程集团有限公司</t>
    </r>
  </si>
  <si>
    <r>
      <rPr>
        <sz val="11"/>
        <color rgb="FF000000"/>
        <rFont val="Songti SC Regular"/>
        <charset val="134"/>
      </rPr>
      <t>组件</t>
    </r>
    <r>
      <rPr>
        <sz val="11"/>
        <color rgb="FF000000"/>
        <rFont val="Times New Roman Regular"/>
        <charset val="134"/>
      </rPr>
      <t>(</t>
    </r>
    <r>
      <rPr>
        <sz val="11"/>
        <color rgb="FF000000"/>
        <rFont val="Songti SC Regular"/>
        <charset val="134"/>
      </rPr>
      <t>损耗率按</t>
    </r>
    <r>
      <rPr>
        <sz val="11"/>
        <color rgb="FF000000"/>
        <rFont val="Times New Roman Regular"/>
        <charset val="134"/>
      </rPr>
      <t>1%</t>
    </r>
    <r>
      <rPr>
        <sz val="11"/>
        <color rgb="FF000000"/>
        <rFont val="Songti SC Regular"/>
        <charset val="134"/>
      </rPr>
      <t>计算</t>
    </r>
    <r>
      <rPr>
        <sz val="11"/>
        <color rgb="FF000000"/>
        <rFont val="Times New Roman Regular"/>
        <charset val="134"/>
      </rPr>
      <t>)
Photovoltaic modules (The loss rate is calculated at 1%)</t>
    </r>
  </si>
  <si>
    <r>
      <rPr>
        <sz val="11"/>
        <color rgb="FF000000"/>
        <rFont val="Times New Roman Regular"/>
        <charset val="134"/>
      </rPr>
      <t>720Wp</t>
    </r>
    <r>
      <rPr>
        <sz val="11"/>
        <color rgb="FF000000"/>
        <rFont val="Songti SC Regular"/>
        <charset val="134"/>
      </rPr>
      <t>双面双玻单晶硅光伏组件、满足</t>
    </r>
    <r>
      <rPr>
        <sz val="11"/>
        <color rgb="FF000000"/>
        <rFont val="Times New Roman Regular"/>
        <charset val="134"/>
      </rPr>
      <t>IEC</t>
    </r>
    <r>
      <rPr>
        <sz val="11"/>
        <color rgb="FF000000"/>
        <rFont val="Songti SC Regular"/>
        <charset val="134"/>
      </rPr>
      <t>标准</t>
    </r>
    <r>
      <rPr>
        <sz val="11"/>
        <color rgb="FF000000"/>
        <rFont val="Times New Roman Regular"/>
        <charset val="134"/>
      </rPr>
      <t>/TUV</t>
    </r>
    <r>
      <rPr>
        <sz val="11"/>
        <color rgb="FF000000"/>
        <rFont val="Songti SC Regular"/>
        <charset val="134"/>
      </rPr>
      <t>认证。</t>
    </r>
    <r>
      <rPr>
        <sz val="11"/>
        <color rgb="FF000000"/>
        <rFont val="Times New Roman Regular"/>
        <charset val="134"/>
      </rPr>
      <t xml:space="preserve">
720Wp double-sided double glass monocrystalline silicon photovoltaic
module, meeting IEC standards/TUV certification.</t>
    </r>
  </si>
  <si>
    <r>
      <rPr>
        <sz val="11"/>
        <color rgb="FF000000"/>
        <rFont val="Songti SC Regular"/>
        <charset val="134"/>
      </rPr>
      <t>所有税金</t>
    </r>
    <r>
      <rPr>
        <sz val="11"/>
        <color rgb="FF000000"/>
        <rFont val="Times New Roman Regular"/>
        <charset val="134"/>
      </rPr>
      <t xml:space="preserve">
</t>
    </r>
    <r>
      <rPr>
        <sz val="11"/>
        <color rgb="FF000000"/>
        <rFont val="Songti SC Regular"/>
        <charset val="134"/>
      </rPr>
      <t>境内境外</t>
    </r>
    <r>
      <rPr>
        <sz val="11"/>
        <color rgb="FF000000"/>
        <rFont val="Times New Roman Regular"/>
        <charset val="134"/>
      </rPr>
      <t xml:space="preserve">)
</t>
    </r>
    <r>
      <rPr>
        <sz val="11"/>
        <color rgb="FF000000"/>
        <rFont val="Songti SC Regular"/>
        <charset val="134"/>
      </rPr>
      <t>、报关费、管理费、和</t>
    </r>
    <r>
      <rPr>
        <sz val="11"/>
        <color rgb="FF000000"/>
        <rFont val="Times New Roman Regular"/>
        <charset val="134"/>
      </rPr>
      <t xml:space="preserve">
</t>
    </r>
    <r>
      <rPr>
        <sz val="11"/>
        <color rgb="FF000000"/>
        <rFont val="Songti SC Regular"/>
        <charset val="134"/>
      </rPr>
      <t>润均包含在</t>
    </r>
    <r>
      <rPr>
        <sz val="11"/>
        <color rgb="FF000000"/>
        <rFont val="Times New Roman Regular"/>
        <charset val="134"/>
      </rPr>
      <t xml:space="preserve">
</t>
    </r>
    <r>
      <rPr>
        <sz val="11"/>
        <color rgb="FF000000"/>
        <rFont val="Songti SC Regular"/>
        <charset val="134"/>
      </rPr>
      <t>单价和合价</t>
    </r>
    <r>
      <rPr>
        <sz val="11"/>
        <color rgb="FF000000"/>
        <rFont val="Times New Roman Regular"/>
        <charset val="134"/>
      </rPr>
      <t xml:space="preserve">
</t>
    </r>
    <r>
      <rPr>
        <sz val="11"/>
        <color rgb="FF000000"/>
        <rFont val="Songti SC Regular"/>
        <charset val="134"/>
      </rPr>
      <t>之内</t>
    </r>
    <r>
      <rPr>
        <sz val="11"/>
        <color rgb="FF000000"/>
        <rFont val="Times New Roman Regular"/>
        <charset val="134"/>
      </rPr>
      <t>.
All taxes
(domestic
and
overseas),
customs
clearance
fees, management
fees, and
profits
are
included
in the unit price
and total
price</t>
    </r>
  </si>
  <si>
    <r>
      <rPr>
        <sz val="11"/>
        <color rgb="FF000000"/>
        <rFont val="Songti SC Regular"/>
        <charset val="134"/>
      </rPr>
      <t>上部支架</t>
    </r>
    <r>
      <rPr>
        <sz val="11"/>
        <color rgb="FF000000"/>
        <rFont val="Times New Roman Regular"/>
        <charset val="134"/>
      </rPr>
      <t>(</t>
    </r>
    <r>
      <rPr>
        <sz val="11"/>
        <color rgb="FF000000"/>
        <rFont val="Songti SC Regular"/>
        <charset val="134"/>
      </rPr>
      <t>损耗率按</t>
    </r>
    <r>
      <rPr>
        <sz val="11"/>
        <color rgb="FF000000"/>
        <rFont val="Times New Roman Regular"/>
        <charset val="134"/>
      </rPr>
      <t>1%</t>
    </r>
    <r>
      <rPr>
        <sz val="11"/>
        <color rgb="FF000000"/>
        <rFont val="Songti SC Regular"/>
        <charset val="134"/>
      </rPr>
      <t>计算</t>
    </r>
    <r>
      <rPr>
        <sz val="11"/>
        <color rgb="FF000000"/>
        <rFont val="Times New Roman Regular"/>
        <charset val="134"/>
      </rPr>
      <t>)
The top bracket (The loss rate is calculated at 1%)</t>
    </r>
  </si>
  <si>
    <r>
      <rPr>
        <sz val="11"/>
        <color rgb="FF000000"/>
        <rFont val="Songti SC Regular"/>
        <charset val="134"/>
      </rPr>
      <t>线缆</t>
    </r>
    <r>
      <rPr>
        <sz val="11"/>
        <color rgb="FF000000"/>
        <rFont val="Times New Roman Regular"/>
        <charset val="134"/>
      </rPr>
      <t>(</t>
    </r>
    <r>
      <rPr>
        <sz val="11"/>
        <color rgb="FF000000"/>
        <rFont val="Songti SC Regular"/>
        <charset val="134"/>
      </rPr>
      <t>损耗率按</t>
    </r>
    <r>
      <rPr>
        <sz val="11"/>
        <color rgb="FF000000"/>
        <rFont val="Times New Roman Regular"/>
        <charset val="134"/>
      </rPr>
      <t>1%</t>
    </r>
    <r>
      <rPr>
        <sz val="11"/>
        <color rgb="FF000000"/>
        <rFont val="Songti SC Regular"/>
        <charset val="134"/>
      </rPr>
      <t>计算</t>
    </r>
    <r>
      <rPr>
        <sz val="11"/>
        <color rgb="FF000000"/>
        <rFont val="Times New Roman Regular"/>
        <charset val="134"/>
      </rPr>
      <t>)
Cables (The loss rate is calculated at 1%)</t>
    </r>
  </si>
  <si>
    <r>
      <rPr>
        <sz val="11"/>
        <color rgb="FF000000"/>
        <rFont val="Songti SC Regular"/>
        <charset val="134"/>
      </rPr>
      <t>光伏电缆</t>
    </r>
    <r>
      <rPr>
        <sz val="11"/>
        <color rgb="FF000000"/>
        <rFont val="Times New Roman Regular"/>
        <charset val="134"/>
      </rPr>
      <t>(</t>
    </r>
    <r>
      <rPr>
        <sz val="11"/>
        <color rgb="FF000000"/>
        <rFont val="Songti SC Regular"/>
        <charset val="134"/>
      </rPr>
      <t>铜</t>
    </r>
    <r>
      <rPr>
        <sz val="11"/>
        <color rgb="FF000000"/>
        <rFont val="Times New Roman Regular"/>
        <charset val="134"/>
      </rPr>
      <t>1*4mm)</t>
    </r>
    <r>
      <rPr>
        <sz val="11"/>
        <color rgb="FF000000"/>
        <rFont val="Songti SC Regular"/>
        <charset val="134"/>
      </rPr>
      <t>、低压直流</t>
    </r>
    <r>
      <rPr>
        <sz val="11"/>
        <color rgb="FF000000"/>
        <rFont val="Times New Roman Regular"/>
        <charset val="134"/>
      </rPr>
      <t>(</t>
    </r>
    <r>
      <rPr>
        <sz val="11"/>
        <color rgb="FF000000"/>
        <rFont val="Songti SC Regular"/>
        <charset val="134"/>
      </rPr>
      <t>铝合金</t>
    </r>
    <r>
      <rPr>
        <sz val="11"/>
        <color rgb="FF000000"/>
        <rFont val="Times New Roman Regular"/>
        <charset val="134"/>
      </rPr>
      <t>)</t>
    </r>
    <r>
      <rPr>
        <sz val="11"/>
        <color rgb="FF000000"/>
        <rFont val="Songti SC Regular"/>
        <charset val="134"/>
      </rPr>
      <t>、高压电缆</t>
    </r>
    <r>
      <rPr>
        <sz val="11"/>
        <color rgb="FF000000"/>
        <rFont val="Times New Roman Regular"/>
        <charset val="134"/>
      </rPr>
      <t>(</t>
    </r>
    <r>
      <rPr>
        <sz val="11"/>
        <color rgb="FF000000"/>
        <rFont val="Songti SC Regular"/>
        <charset val="134"/>
      </rPr>
      <t>铝合金</t>
    </r>
    <r>
      <rPr>
        <sz val="11"/>
        <color rgb="FF000000"/>
        <rFont val="Times New Roman Regular"/>
        <charset val="134"/>
      </rPr>
      <t>)</t>
    </r>
    <r>
      <rPr>
        <sz val="11"/>
        <color rgb="FF000000"/>
        <rFont val="Songti SC Regular"/>
        <charset val="134"/>
      </rPr>
      <t>、光纤</t>
    </r>
    <r>
      <rPr>
        <sz val="11"/>
        <color rgb="FF000000"/>
        <rFont val="Times New Roman Regular"/>
        <charset val="134"/>
      </rPr>
      <t xml:space="preserve">
Photovoltaic cable (copper 1*4mm2)</t>
    </r>
    <r>
      <rPr>
        <sz val="11"/>
        <color rgb="FF000000"/>
        <rFont val="Songti SC Regular"/>
        <charset val="134"/>
      </rPr>
      <t>，</t>
    </r>
    <r>
      <rPr>
        <sz val="11"/>
        <color rgb="FF000000"/>
        <rFont val="Times New Roman Regular"/>
        <charset val="134"/>
      </rPr>
      <t xml:space="preserve"> 1ow voltage DC (aluminum alloy), high
voltage cable (aluminum alloy),optical fiber</t>
    </r>
  </si>
  <si>
    <r>
      <rPr>
        <sz val="11"/>
        <color rgb="FF000000"/>
        <rFont val="Songti SC Regular"/>
        <charset val="134"/>
      </rPr>
      <t>汇流箱</t>
    </r>
    <r>
      <rPr>
        <sz val="11"/>
        <color rgb="FF000000"/>
        <rFont val="Times New Roman Regular"/>
        <charset val="134"/>
      </rPr>
      <t>(</t>
    </r>
    <r>
      <rPr>
        <sz val="11"/>
        <color rgb="FF000000"/>
        <rFont val="Songti SC Regular"/>
        <charset val="134"/>
      </rPr>
      <t>损耗率按</t>
    </r>
    <r>
      <rPr>
        <sz val="11"/>
        <color rgb="FF000000"/>
        <rFont val="Times New Roman Regular"/>
        <charset val="134"/>
      </rPr>
      <t>1%</t>
    </r>
    <r>
      <rPr>
        <sz val="11"/>
        <color rgb="FF000000"/>
        <rFont val="Songti SC Regular"/>
        <charset val="134"/>
      </rPr>
      <t>计算</t>
    </r>
    <r>
      <rPr>
        <sz val="11"/>
        <color rgb="FF000000"/>
        <rFont val="Times New Roman Regular"/>
        <charset val="134"/>
      </rPr>
      <t>)
Combiner box (The loss rate is calculated at 1%)</t>
    </r>
  </si>
  <si>
    <r>
      <rPr>
        <sz val="11"/>
        <color rgb="FF000000"/>
        <rFont val="Songti SC Regular"/>
        <charset val="134"/>
      </rPr>
      <t>智能防雷汇流箱</t>
    </r>
    <r>
      <rPr>
        <sz val="11"/>
        <color rgb="FF000000"/>
        <rFont val="Times New Roman Regular"/>
        <charset val="134"/>
      </rPr>
      <t xml:space="preserve">
Intelligent lightning protection combiner box</t>
    </r>
  </si>
  <si>
    <r>
      <rPr>
        <sz val="11"/>
        <color rgb="FF000000"/>
        <rFont val="Times New Roman Regular"/>
        <charset val="134"/>
      </rPr>
      <t>35kV</t>
    </r>
    <r>
      <rPr>
        <sz val="11"/>
        <color rgb="FF000000"/>
        <rFont val="Songti SC Regular"/>
        <charset val="134"/>
      </rPr>
      <t>、</t>
    </r>
    <r>
      <rPr>
        <sz val="11"/>
        <color rgb="FF000000"/>
        <rFont val="Times New Roman Regular"/>
        <charset val="134"/>
      </rPr>
      <t>IP65</t>
    </r>
    <r>
      <rPr>
        <sz val="11"/>
        <color rgb="FF000000"/>
        <rFont val="Songti SC Regular"/>
        <charset val="134"/>
      </rPr>
      <t>、效率大于</t>
    </r>
    <r>
      <rPr>
        <sz val="11"/>
        <color rgb="FF000000"/>
        <rFont val="Times New Roman Regular"/>
        <charset val="134"/>
      </rPr>
      <t>99%</t>
    </r>
    <r>
      <rPr>
        <sz val="11"/>
        <color rgb="FF000000"/>
        <rFont val="Songti SC Regular"/>
        <charset val="134"/>
      </rPr>
      <t>、满足</t>
    </r>
    <r>
      <rPr>
        <sz val="11"/>
        <color rgb="FF000000"/>
        <rFont val="Times New Roman Regular"/>
        <charset val="134"/>
      </rPr>
      <t>IEC</t>
    </r>
    <r>
      <rPr>
        <sz val="11"/>
        <color rgb="FF000000"/>
        <rFont val="Songti SC Regular"/>
        <charset val="134"/>
      </rPr>
      <t>标准</t>
    </r>
    <r>
      <rPr>
        <sz val="11"/>
        <color rgb="FF000000"/>
        <rFont val="Times New Roman Regular"/>
        <charset val="134"/>
      </rPr>
      <t>/TUV</t>
    </r>
    <r>
      <rPr>
        <sz val="11"/>
        <color rgb="FF000000"/>
        <rFont val="Songti SC Regular"/>
        <charset val="134"/>
      </rPr>
      <t>认证</t>
    </r>
    <r>
      <rPr>
        <sz val="11"/>
        <color rgb="FF000000"/>
        <rFont val="Times New Roman Regular"/>
        <charset val="134"/>
      </rPr>
      <t xml:space="preserve">
35kV,IP65, with efficiency greater than
99%, meeting the IEC standard /TUV certification</t>
    </r>
  </si>
  <si>
    <r>
      <rPr>
        <sz val="11"/>
        <color rgb="FF000000"/>
        <rFont val="Songti SC Regular"/>
        <charset val="134"/>
      </rPr>
      <t>合计</t>
    </r>
    <r>
      <rPr>
        <sz val="11"/>
        <color rgb="FF000000"/>
        <rFont val="Times New Roman Regular"/>
        <charset val="134"/>
      </rPr>
      <t>(</t>
    </r>
    <r>
      <rPr>
        <sz val="11"/>
        <color rgb="FF000000"/>
        <rFont val="Songti SC Regular"/>
        <charset val="134"/>
      </rPr>
      <t>五</t>
    </r>
    <r>
      <rPr>
        <sz val="11"/>
        <color rgb="FF000000"/>
        <rFont val="Times New Roman Regular"/>
        <charset val="134"/>
      </rPr>
      <t>)
Total(V)</t>
    </r>
  </si>
  <si>
    <r>
      <rPr>
        <sz val="11"/>
        <color rgb="FF000000"/>
        <rFont val="Songti SC Regular"/>
        <charset val="134"/>
      </rPr>
      <t>六</t>
    </r>
    <r>
      <rPr>
        <sz val="11"/>
        <color rgb="FF000000"/>
        <rFont val="Times New Roman Regular"/>
        <charset val="134"/>
      </rPr>
      <t xml:space="preserve"> 
VI</t>
    </r>
  </si>
  <si>
    <r>
      <rPr>
        <sz val="11"/>
        <color rgb="FF000000"/>
        <rFont val="Songti SC Regular"/>
        <charset val="134"/>
      </rPr>
      <t>中材节能股份有限公司</t>
    </r>
  </si>
  <si>
    <t>所有税金(境内境外)、报关费、管理费、利润均包含在单价和合价之内。
Al1 taxes (domestic and overseas), customs clearance fees, management fees, and profits are in the unit price and total price.</t>
  </si>
  <si>
    <r>
      <rPr>
        <sz val="11"/>
        <color rgb="FF000000"/>
        <rFont val="Songti SC Regular"/>
        <charset val="134"/>
      </rPr>
      <t>光伏电缆</t>
    </r>
    <r>
      <rPr>
        <sz val="11"/>
        <color rgb="FF000000"/>
        <rFont val="Times New Roman Regular"/>
        <charset val="134"/>
      </rPr>
      <t>(</t>
    </r>
    <r>
      <rPr>
        <sz val="11"/>
        <color rgb="FF000000"/>
        <rFont val="Songti SC Regular"/>
        <charset val="134"/>
      </rPr>
      <t>铜</t>
    </r>
    <r>
      <rPr>
        <sz val="11"/>
        <color rgb="FF000000"/>
        <rFont val="Times New Roman Regular"/>
        <charset val="134"/>
      </rPr>
      <t>1*4mm2)</t>
    </r>
    <r>
      <rPr>
        <sz val="11"/>
        <color rgb="FF000000"/>
        <rFont val="Songti SC Regular"/>
        <charset val="134"/>
      </rPr>
      <t>、低压直流</t>
    </r>
    <r>
      <rPr>
        <sz val="11"/>
        <color rgb="FF000000"/>
        <rFont val="Times New Roman Regular"/>
        <charset val="134"/>
      </rPr>
      <t>(</t>
    </r>
    <r>
      <rPr>
        <sz val="11"/>
        <color rgb="FF000000"/>
        <rFont val="Songti SC Regular"/>
        <charset val="134"/>
      </rPr>
      <t>铝合金</t>
    </r>
    <r>
      <rPr>
        <sz val="11"/>
        <color rgb="FF000000"/>
        <rFont val="Times New Roman Regular"/>
        <charset val="134"/>
      </rPr>
      <t>)</t>
    </r>
    <r>
      <rPr>
        <sz val="11"/>
        <color rgb="FF000000"/>
        <rFont val="Songti SC Regular"/>
        <charset val="134"/>
      </rPr>
      <t>、高压电缆</t>
    </r>
    <r>
      <rPr>
        <sz val="11"/>
        <color rgb="FF000000"/>
        <rFont val="Times New Roman Regular"/>
        <charset val="134"/>
      </rPr>
      <t>(</t>
    </r>
    <r>
      <rPr>
        <sz val="11"/>
        <color rgb="FF000000"/>
        <rFont val="Songti SC Regular"/>
        <charset val="134"/>
      </rPr>
      <t>铝合金</t>
    </r>
    <r>
      <rPr>
        <sz val="11"/>
        <color rgb="FF000000"/>
        <rFont val="Times New Roman Regular"/>
        <charset val="134"/>
      </rPr>
      <t>)</t>
    </r>
    <r>
      <rPr>
        <sz val="11"/>
        <color rgb="FF000000"/>
        <rFont val="Songti SC Regular"/>
        <charset val="134"/>
      </rPr>
      <t>、光纤</t>
    </r>
    <r>
      <rPr>
        <sz val="11"/>
        <color rgb="FF000000"/>
        <rFont val="Times New Roman Regular"/>
        <charset val="134"/>
      </rPr>
      <t xml:space="preserve">
Photovoltaic cable (copper 1*4mm2), low voltage DC (aluminum alloy),high
voltage cable (aluminum alloy), optical fiber</t>
    </r>
  </si>
  <si>
    <r>
      <rPr>
        <sz val="11"/>
        <color rgb="FF000000"/>
        <rFont val="Songti SC Regular"/>
        <charset val="134"/>
      </rPr>
      <t>合计</t>
    </r>
    <r>
      <rPr>
        <sz val="11"/>
        <color rgb="FF000000"/>
        <rFont val="Times New Roman Regular"/>
        <charset val="134"/>
      </rPr>
      <t>(</t>
    </r>
    <r>
      <rPr>
        <sz val="11"/>
        <color rgb="FF000000"/>
        <rFont val="Songti SC Regular"/>
        <charset val="134"/>
      </rPr>
      <t>六</t>
    </r>
    <r>
      <rPr>
        <sz val="11"/>
        <color rgb="FF000000"/>
        <rFont val="Times New Roman Regular"/>
        <charset val="134"/>
      </rPr>
      <t>)
Total (VI)</t>
    </r>
  </si>
  <si>
    <r>
      <rPr>
        <sz val="11"/>
        <color rgb="FF000000"/>
        <rFont val="Songti SC Regular"/>
        <charset val="134"/>
      </rPr>
      <t>七</t>
    </r>
    <r>
      <rPr>
        <sz val="11"/>
        <color rgb="FF000000"/>
        <rFont val="Times New Roman Regular"/>
        <charset val="134"/>
      </rPr>
      <t xml:space="preserve"> 
VII</t>
    </r>
  </si>
  <si>
    <t>信息产业电子第十一设计研究院科技工程股份有限公司</t>
  </si>
  <si>
    <r>
      <rPr>
        <sz val="11"/>
        <color rgb="FF000000"/>
        <rFont val="Songti SC Regular"/>
        <charset val="134"/>
      </rPr>
      <t>主要设备材料采购费</t>
    </r>
    <r>
      <rPr>
        <sz val="11"/>
        <color rgb="FF000000"/>
        <rFont val="Times New Roman Regular"/>
        <charset val="134"/>
      </rPr>
      <t xml:space="preserve">
Purchase cost of major equipment and materials</t>
    </r>
  </si>
  <si>
    <r>
      <rPr>
        <sz val="11"/>
        <color rgb="FF000000"/>
        <rFont val="Songti SC Regular"/>
        <charset val="134"/>
      </rPr>
      <t>箱逆变钢平台</t>
    </r>
    <r>
      <rPr>
        <sz val="11"/>
        <color rgb="FF000000"/>
        <rFont val="Times New Roman Regular"/>
        <charset val="134"/>
      </rPr>
      <t xml:space="preserve">
Transformer&amp;inverter steel platform</t>
    </r>
  </si>
  <si>
    <r>
      <rPr>
        <sz val="11"/>
        <color rgb="FF000000"/>
        <rFont val="Songti SC Regular"/>
        <charset val="134"/>
      </rPr>
      <t>视频监控系统</t>
    </r>
    <r>
      <rPr>
        <sz val="11"/>
        <color rgb="FF000000"/>
        <rFont val="Times New Roman Regular"/>
        <charset val="134"/>
      </rPr>
      <t xml:space="preserve">
Communication and video monitoring
in PV area</t>
    </r>
  </si>
  <si>
    <r>
      <rPr>
        <sz val="11"/>
        <color rgb="FF000000"/>
        <rFont val="Songti SC Regular"/>
        <charset val="134"/>
      </rPr>
      <t>安装工程</t>
    </r>
    <r>
      <rPr>
        <sz val="11"/>
        <color rgb="FF000000"/>
        <rFont val="Times New Roman Regular"/>
        <charset val="134"/>
      </rPr>
      <t xml:space="preserve">
Construction of PV area</t>
    </r>
  </si>
  <si>
    <r>
      <rPr>
        <sz val="11"/>
        <color rgb="FF000000"/>
        <rFont val="Songti SC Regular"/>
        <charset val="134"/>
      </rPr>
      <t>下部支架桩调校</t>
    </r>
    <r>
      <rPr>
        <sz val="11"/>
        <color rgb="FF000000"/>
        <rFont val="Times New Roman Regular"/>
        <charset val="134"/>
      </rPr>
      <t xml:space="preserve">
Alignment adjustment of lower support piles</t>
    </r>
  </si>
  <si>
    <r>
      <rPr>
        <sz val="11"/>
        <color rgb="FF000000"/>
        <rFont val="Songti SC Regular"/>
        <charset val="134"/>
      </rPr>
      <t>上部支架安装</t>
    </r>
    <r>
      <rPr>
        <sz val="11"/>
        <color rgb="FF000000"/>
        <rFont val="Times New Roman Regular"/>
        <charset val="134"/>
      </rPr>
      <t xml:space="preserve">
Bracket installation</t>
    </r>
  </si>
  <si>
    <r>
      <rPr>
        <sz val="11"/>
        <color rgb="FF000000"/>
        <rFont val="Songti SC Regular"/>
        <charset val="134"/>
      </rPr>
      <t>组件安装</t>
    </r>
    <r>
      <rPr>
        <sz val="11"/>
        <color rgb="FF000000"/>
        <rFont val="Times New Roman Regular"/>
        <charset val="134"/>
      </rPr>
      <t xml:space="preserve">
Modules installation</t>
    </r>
  </si>
  <si>
    <r>
      <rPr>
        <sz val="11"/>
        <color rgb="FF000000"/>
        <rFont val="Songti SC Regular"/>
        <charset val="134"/>
      </rPr>
      <t>汇流箱安装</t>
    </r>
    <r>
      <rPr>
        <sz val="11"/>
        <color rgb="FF000000"/>
        <rFont val="Times New Roman Regular"/>
        <charset val="134"/>
      </rPr>
      <t xml:space="preserve">
Combiner box installation</t>
    </r>
  </si>
  <si>
    <r>
      <rPr>
        <sz val="11"/>
        <color rgb="FF000000"/>
        <rFont val="Songti SC Regular"/>
        <charset val="134"/>
      </rPr>
      <t>箱逆变一体机安装</t>
    </r>
    <r>
      <rPr>
        <sz val="11"/>
        <color rgb="FF000000"/>
        <rFont val="Times New Roman Regular"/>
        <charset val="134"/>
      </rPr>
      <t xml:space="preserve">
Box transformer and inverter integrated machine installation</t>
    </r>
  </si>
  <si>
    <r>
      <rPr>
        <sz val="11"/>
        <color rgb="FF000000"/>
        <rFont val="Songti SC Regular"/>
        <charset val="134"/>
      </rPr>
      <t>电气安装</t>
    </r>
    <r>
      <rPr>
        <sz val="11"/>
        <color rgb="FF000000"/>
        <rFont val="Times New Roman Regular"/>
        <charset val="134"/>
      </rPr>
      <t xml:space="preserve">
Electric installation</t>
    </r>
  </si>
  <si>
    <r>
      <rPr>
        <sz val="11"/>
        <color rgb="FF000000"/>
        <rFont val="Songti SC Regular"/>
        <charset val="134"/>
      </rPr>
      <t>电缆敷设、接地系统等</t>
    </r>
    <r>
      <rPr>
        <sz val="11"/>
        <color rgb="FF000000"/>
        <rFont val="Times New Roman Regular"/>
        <charset val="134"/>
      </rPr>
      <t xml:space="preserve">
Cable laying and grounding system etc.</t>
    </r>
  </si>
  <si>
    <r>
      <rPr>
        <sz val="11"/>
        <color rgb="FF000000"/>
        <rFont val="Songti SC Regular"/>
        <charset val="134"/>
      </rPr>
      <t>视频监控系统安装调试</t>
    </r>
    <r>
      <rPr>
        <sz val="11"/>
        <color rgb="FF000000"/>
        <rFont val="Times New Roman Regular"/>
        <charset val="134"/>
      </rPr>
      <t xml:space="preserve">
Communication and video monitoring in PV area, Installation and commissioning</t>
    </r>
  </si>
  <si>
    <r>
      <rPr>
        <sz val="11"/>
        <color rgb="FF000000"/>
        <rFont val="Songti SC Regular"/>
        <charset val="134"/>
      </rPr>
      <t>安装及调试</t>
    </r>
    <r>
      <rPr>
        <sz val="11"/>
        <color rgb="FF000000"/>
        <rFont val="Times New Roman Regular"/>
        <charset val="134"/>
      </rPr>
      <t xml:space="preserve">
Installation and commissioning</t>
    </r>
  </si>
  <si>
    <r>
      <rPr>
        <sz val="11"/>
        <color rgb="FF000000"/>
        <rFont val="Songti SC Regular"/>
        <charset val="134"/>
      </rPr>
      <t>设备材料的卸货和二次倒运</t>
    </r>
    <r>
      <rPr>
        <sz val="11"/>
        <color rgb="FF000000"/>
        <rFont val="Times New Roman Regular"/>
        <charset val="134"/>
      </rPr>
      <t xml:space="preserve">
Unloading and secondary transportation of equipment and materials</t>
    </r>
  </si>
  <si>
    <r>
      <rPr>
        <sz val="11"/>
        <color rgb="FF000000"/>
        <rFont val="Songti SC Regular"/>
        <charset val="134"/>
      </rPr>
      <t>现场安保管理及翻译</t>
    </r>
    <r>
      <rPr>
        <sz val="11"/>
        <color rgb="FF000000"/>
        <rFont val="Times New Roman Regular"/>
        <charset val="134"/>
      </rPr>
      <t xml:space="preserve">
On site security management and translation</t>
    </r>
  </si>
  <si>
    <r>
      <rPr>
        <sz val="11"/>
        <color rgb="FF000000"/>
        <rFont val="Songti SC Regular"/>
        <charset val="134"/>
      </rPr>
      <t>海关监管库</t>
    </r>
    <r>
      <rPr>
        <sz val="11"/>
        <color rgb="FF000000"/>
        <rFont val="Times New Roman Regular"/>
        <charset val="134"/>
      </rPr>
      <t xml:space="preserve">
Customs Supervision Warehouse</t>
    </r>
  </si>
  <si>
    <r>
      <rPr>
        <sz val="11"/>
        <color rgb="FF000000"/>
        <rFont val="Songti SC Regular"/>
        <charset val="134"/>
      </rPr>
      <t>项</t>
    </r>
    <r>
      <rPr>
        <sz val="11"/>
        <color rgb="FF000000"/>
        <rFont val="Times New Roman Regular"/>
        <charset val="134"/>
      </rPr>
      <t xml:space="preserve"> Item</t>
    </r>
  </si>
  <si>
    <r>
      <rPr>
        <sz val="11"/>
        <color rgb="FF000000"/>
        <rFont val="Songti SC Regular"/>
        <charset val="134"/>
      </rPr>
      <t>箱逆变设备基础</t>
    </r>
    <r>
      <rPr>
        <sz val="11"/>
        <color rgb="FF000000"/>
        <rFont val="Times New Roman Regular"/>
        <charset val="134"/>
      </rPr>
      <t xml:space="preserve">
Equipment foundation</t>
    </r>
  </si>
  <si>
    <r>
      <rPr>
        <sz val="11"/>
        <color rgb="FF000000"/>
        <rFont val="Songti SC Regular"/>
        <charset val="134"/>
      </rPr>
      <t>施工辅材</t>
    </r>
    <r>
      <rPr>
        <sz val="11"/>
        <color rgb="FF000000"/>
        <rFont val="Times New Roman Regular"/>
        <charset val="134"/>
      </rPr>
      <t xml:space="preserve">
Construction auxiliary material</t>
    </r>
  </si>
  <si>
    <r>
      <rPr>
        <sz val="11"/>
        <color rgb="FF000000"/>
        <rFont val="Songti SC Regular"/>
        <charset val="134"/>
      </rPr>
      <t>桥架、线管、防火泥、防火封堵等</t>
    </r>
    <r>
      <rPr>
        <sz val="11"/>
        <color rgb="FF000000"/>
        <rFont val="Times New Roman Regular"/>
        <charset val="134"/>
      </rPr>
      <t xml:space="preserve">
Cable Tray, line pipe, fire mud, fire sealing, etc.</t>
    </r>
  </si>
  <si>
    <r>
      <rPr>
        <sz val="11"/>
        <color rgb="FF000000"/>
        <rFont val="Songti SC Regular"/>
        <charset val="134"/>
      </rPr>
      <t>光伏区事故油池</t>
    </r>
    <r>
      <rPr>
        <sz val="11"/>
        <color rgb="FF000000"/>
        <rFont val="Times New Roman Regular"/>
        <charset val="134"/>
      </rPr>
      <t xml:space="preserve">
Accident oil pool of photovoltaic area</t>
    </r>
  </si>
  <si>
    <r>
      <rPr>
        <sz val="11"/>
        <color rgb="FF000000"/>
        <rFont val="Songti SC Regular"/>
        <charset val="134"/>
      </rPr>
      <t>安全文明措施费</t>
    </r>
    <r>
      <rPr>
        <sz val="11"/>
        <color rgb="FF000000"/>
        <rFont val="Times New Roman Regular"/>
        <charset val="134"/>
      </rPr>
      <t xml:space="preserve">
Safety and civilization measures expense</t>
    </r>
  </si>
  <si>
    <r>
      <rPr>
        <sz val="11"/>
        <color rgb="FF000000"/>
        <rFont val="Songti SC Regular"/>
        <charset val="134"/>
      </rPr>
      <t>运费</t>
    </r>
    <r>
      <rPr>
        <sz val="11"/>
        <color rgb="FF000000"/>
        <rFont val="Times New Roman Regular"/>
        <charset val="134"/>
      </rPr>
      <t xml:space="preserve">
Froight</t>
    </r>
  </si>
  <si>
    <r>
      <rPr>
        <sz val="11"/>
        <color rgb="FF000000"/>
        <rFont val="Songti SC Regular"/>
        <charset val="134"/>
      </rPr>
      <t>其他</t>
    </r>
    <r>
      <rPr>
        <sz val="11"/>
        <color rgb="FF000000"/>
        <rFont val="Times New Roman Regular"/>
        <charset val="134"/>
      </rPr>
      <t xml:space="preserve">
Others</t>
    </r>
  </si>
  <si>
    <r>
      <rPr>
        <sz val="11"/>
        <color rgb="FF000000"/>
        <rFont val="Songti SC Regular"/>
        <charset val="134"/>
      </rPr>
      <t>图纸转换费</t>
    </r>
    <r>
      <rPr>
        <sz val="11"/>
        <color rgb="FF000000"/>
        <rFont val="Times New Roman Regular"/>
        <charset val="134"/>
      </rPr>
      <t xml:space="preserve">
Drawing conversion free</t>
    </r>
  </si>
  <si>
    <r>
      <rPr>
        <sz val="11"/>
        <color rgb="FF000000"/>
        <rFont val="Songti SC Regular"/>
        <charset val="134"/>
      </rPr>
      <t>咨询费</t>
    </r>
    <r>
      <rPr>
        <sz val="11"/>
        <color rgb="FF000000"/>
        <rFont val="Times New Roman Regular"/>
        <charset val="134"/>
      </rPr>
      <t xml:space="preserve">
Consulting service fee</t>
    </r>
  </si>
  <si>
    <r>
      <rPr>
        <sz val="11"/>
        <color rgb="FF000000"/>
        <rFont val="Songti SC Regular"/>
        <charset val="134"/>
      </rPr>
      <t>法务、咨询等</t>
    </r>
    <r>
      <rPr>
        <sz val="11"/>
        <color rgb="FF000000"/>
        <rFont val="Times New Roman Regular"/>
        <charset val="134"/>
      </rPr>
      <t xml:space="preserve">
Legal, consulting, etc</t>
    </r>
  </si>
  <si>
    <r>
      <rPr>
        <sz val="11"/>
        <color rgb="FF000000"/>
        <rFont val="Songti SC Regular"/>
        <charset val="134"/>
      </rPr>
      <t>保险费</t>
    </r>
    <r>
      <rPr>
        <sz val="11"/>
        <color rgb="FF000000"/>
        <rFont val="Times New Roman Regular"/>
        <charset val="134"/>
      </rPr>
      <t xml:space="preserve">
Insurance expenses</t>
    </r>
  </si>
  <si>
    <r>
      <rPr>
        <sz val="11"/>
        <color rgb="FF000000"/>
        <rFont val="Songti SC Regular"/>
        <charset val="134"/>
      </rPr>
      <t>建筑工程一切险、团意险</t>
    </r>
    <r>
      <rPr>
        <sz val="11"/>
        <color rgb="FF000000"/>
        <rFont val="Times New Roman Regular"/>
        <charset val="134"/>
      </rPr>
      <t xml:space="preserve">
Construction All Risks lnsurance and Group Accident Insurance</t>
    </r>
  </si>
  <si>
    <r>
      <rPr>
        <sz val="11"/>
        <color rgb="FF000000"/>
        <rFont val="Songti SC Regular"/>
        <charset val="134"/>
      </rPr>
      <t>合计</t>
    </r>
    <r>
      <rPr>
        <sz val="11"/>
        <color rgb="FF000000"/>
        <rFont val="Times New Roman Regular"/>
        <charset val="134"/>
      </rPr>
      <t>(</t>
    </r>
    <r>
      <rPr>
        <sz val="11"/>
        <color rgb="FF000000"/>
        <rFont val="Songti SC Regular"/>
        <charset val="134"/>
      </rPr>
      <t>七</t>
    </r>
    <r>
      <rPr>
        <sz val="11"/>
        <color rgb="FF000000"/>
        <rFont val="Times New Roman Regular"/>
        <charset val="134"/>
      </rPr>
      <t>) 
Tota1(VII)</t>
    </r>
  </si>
  <si>
    <t>八
VIII</t>
  </si>
  <si>
    <r>
      <rPr>
        <sz val="14"/>
        <color theme="0"/>
        <rFont val="Songti SC Regular"/>
        <charset val="134"/>
      </rPr>
      <t>总计</t>
    </r>
    <r>
      <rPr>
        <sz val="14"/>
        <color theme="0"/>
        <rFont val="Times New Roman Regular"/>
        <charset val="134"/>
      </rPr>
      <t xml:space="preserve"> 
Total</t>
    </r>
  </si>
  <si>
    <t>参数汇总表（不含储能投资）</t>
  </si>
  <si>
    <t>项目</t>
  </si>
  <si>
    <t>数值</t>
  </si>
  <si>
    <t>一</t>
  </si>
  <si>
    <t>工程概况</t>
  </si>
  <si>
    <t>光伏系统容量</t>
  </si>
  <si>
    <t>直流侧容量</t>
  </si>
  <si>
    <t>工期</t>
  </si>
  <si>
    <t>月</t>
  </si>
  <si>
    <t>项目运行期</t>
  </si>
  <si>
    <t>二</t>
  </si>
  <si>
    <t>投资类参数</t>
  </si>
  <si>
    <t>单位千瓦静态投资</t>
  </si>
  <si>
    <t>元/kW</t>
  </si>
  <si>
    <t>不含储能</t>
  </si>
  <si>
    <t>静态投资</t>
  </si>
  <si>
    <t>动态投资</t>
  </si>
  <si>
    <t>资本金比例</t>
  </si>
  <si>
    <t>%</t>
  </si>
  <si>
    <t>可抵扣税金</t>
  </si>
  <si>
    <t>流动资金单位千瓦指标</t>
  </si>
  <si>
    <t>三</t>
  </si>
  <si>
    <t>成本类参数</t>
  </si>
  <si>
    <t>贷款情况</t>
  </si>
  <si>
    <t>银行1还款期限</t>
  </si>
  <si>
    <t>还本付息方式</t>
  </si>
  <si>
    <t>等额还本利息照付</t>
  </si>
  <si>
    <t>长期贷款利率</t>
  </si>
  <si>
    <t>1.2</t>
  </si>
  <si>
    <t>流动资金贷款利率</t>
  </si>
  <si>
    <t>折旧</t>
  </si>
  <si>
    <t>光伏系统折旧年限</t>
  </si>
  <si>
    <t>税法规定</t>
  </si>
  <si>
    <t>光伏系统残值率</t>
  </si>
  <si>
    <t>光伏系统修理费</t>
  </si>
  <si>
    <t>光伏系统保险费</t>
  </si>
  <si>
    <t>运维已包含，暂未单独考虑</t>
  </si>
  <si>
    <t>定员标准</t>
  </si>
  <si>
    <t>人</t>
  </si>
  <si>
    <t>人均年工资</t>
  </si>
  <si>
    <t>材料费</t>
  </si>
  <si>
    <t>实际</t>
  </si>
  <si>
    <t>租地费用（每年）</t>
  </si>
  <si>
    <t>一次性土地补偿费</t>
  </si>
  <si>
    <t>四</t>
  </si>
  <si>
    <t>收益类参数</t>
  </si>
  <si>
    <t>首年利用小时数</t>
  </si>
  <si>
    <t>h</t>
  </si>
  <si>
    <t>第一年衰减1%，后续每年0.4%</t>
  </si>
  <si>
    <t>上网电价（不含增值税）</t>
  </si>
  <si>
    <t>元/kWh</t>
  </si>
  <si>
    <t>电网公司收电力服务费</t>
  </si>
  <si>
    <t>类似国内的辅助服务费，结算时需要在PPA中扣除</t>
  </si>
  <si>
    <t>增值税税率</t>
  </si>
  <si>
    <r>
      <rPr>
        <sz val="10"/>
        <rFont val="宋体"/>
        <charset val="134"/>
      </rPr>
      <t>进口</t>
    </r>
    <r>
      <rPr>
        <sz val="10"/>
        <color rgb="FFFF0000"/>
        <rFont val="宋体"/>
        <charset val="134"/>
      </rPr>
      <t>豁免</t>
    </r>
    <r>
      <rPr>
        <sz val="10"/>
        <rFont val="宋体"/>
        <charset val="134"/>
      </rPr>
      <t>征收。</t>
    </r>
  </si>
  <si>
    <t>所得税税率</t>
  </si>
  <si>
    <r>
      <rPr>
        <sz val="10"/>
        <rFont val="宋体"/>
        <charset val="134"/>
      </rPr>
      <t>在吉尔吉斯，称为“利润税”“利得税”，</t>
    </r>
    <r>
      <rPr>
        <sz val="10"/>
        <color rgb="FFFF0000"/>
        <rFont val="宋体"/>
        <charset val="134"/>
      </rPr>
      <t>豁免</t>
    </r>
  </si>
  <si>
    <t>城市维护建设税</t>
  </si>
  <si>
    <t>无</t>
  </si>
  <si>
    <t>教育费附加</t>
  </si>
  <si>
    <t>增值税即征即退</t>
  </si>
  <si>
    <t>否</t>
  </si>
  <si>
    <t>所得税N免N减半</t>
  </si>
  <si>
    <t>豁免</t>
  </si>
  <si>
    <t>补贴收入</t>
  </si>
  <si>
    <r>
      <rPr>
        <sz val="14"/>
        <color rgb="FFFF0000"/>
        <rFont val="Songti SC Regular"/>
        <charset val="134"/>
      </rPr>
      <t>根据吉尔吉斯共和国的税法（</t>
    </r>
    <r>
      <rPr>
        <sz val="14"/>
        <color rgb="FFFF0000"/>
        <rFont val="Palatino Regular"/>
        <charset val="134"/>
      </rPr>
      <t xml:space="preserve">2022 </t>
    </r>
    <r>
      <rPr>
        <sz val="14"/>
        <color rgb="FFFF0000"/>
        <rFont val="Songti SC Regular"/>
        <charset val="134"/>
      </rPr>
      <t>年</t>
    </r>
    <r>
      <rPr>
        <sz val="14"/>
        <color rgb="FFFF0000"/>
        <rFont val="Palatino Regular"/>
        <charset val="134"/>
      </rPr>
      <t xml:space="preserve"> 1 </t>
    </r>
    <r>
      <rPr>
        <sz val="14"/>
        <color rgb="FFFF0000"/>
        <rFont val="Songti SC Regular"/>
        <charset val="134"/>
      </rPr>
      <t>月</t>
    </r>
    <r>
      <rPr>
        <sz val="14"/>
        <color rgb="FFFF0000"/>
        <rFont val="Palatino Regular"/>
        <charset val="134"/>
      </rPr>
      <t xml:space="preserve"> 18 </t>
    </r>
    <r>
      <rPr>
        <sz val="14"/>
        <color rgb="FFFF0000"/>
        <rFont val="Songti SC Regular"/>
        <charset val="134"/>
      </rPr>
      <t>日第</t>
    </r>
    <r>
      <rPr>
        <sz val="14"/>
        <color rgb="FFFF0000"/>
        <rFont val="Palatino Regular"/>
        <charset val="134"/>
      </rPr>
      <t xml:space="preserve"> 4 </t>
    </r>
    <r>
      <rPr>
        <sz val="14"/>
        <color rgb="FFFF0000"/>
        <rFont val="Songti SC Regular"/>
        <charset val="134"/>
      </rPr>
      <t>号）、吉尔吉斯共和国《巴特肯地区地位法</t>
    </r>
    <r>
      <rPr>
        <sz val="14"/>
        <color rgb="FFFF0000"/>
        <rFont val="Palatino Regular"/>
        <charset val="134"/>
      </rPr>
      <t xml:space="preserve"> О статусе Баткенской области</t>
    </r>
    <r>
      <rPr>
        <sz val="14"/>
        <color rgb="FFFF0000"/>
        <rFont val="Songti SC Regular"/>
        <charset val="134"/>
      </rPr>
      <t>》（</t>
    </r>
    <r>
      <rPr>
        <sz val="14"/>
        <color rgb="FFFF0000"/>
        <rFont val="Palatino Regular"/>
        <charset val="134"/>
      </rPr>
      <t>2021</t>
    </r>
    <r>
      <rPr>
        <sz val="14"/>
        <color rgb="FFFF0000"/>
        <rFont val="Songti SC Regular"/>
        <charset val="134"/>
      </rPr>
      <t>年</t>
    </r>
    <r>
      <rPr>
        <sz val="14"/>
        <color rgb="FFFF0000"/>
        <rFont val="Palatino Regular"/>
        <charset val="134"/>
      </rPr>
      <t>9</t>
    </r>
    <r>
      <rPr>
        <sz val="14"/>
        <color rgb="FFFF0000"/>
        <rFont val="Songti SC Regular"/>
        <charset val="134"/>
      </rPr>
      <t>月</t>
    </r>
    <r>
      <rPr>
        <sz val="14"/>
        <color rgb="FFFF0000"/>
        <rFont val="Palatino Regular"/>
        <charset val="134"/>
      </rPr>
      <t>10</t>
    </r>
    <r>
      <rPr>
        <sz val="14"/>
        <color rgb="FFFF0000"/>
        <rFont val="Songti SC Regular"/>
        <charset val="134"/>
      </rPr>
      <t>日</t>
    </r>
    <r>
      <rPr>
        <sz val="14"/>
        <color rgb="FFFF0000"/>
        <rFont val="Palatino Regular"/>
        <charset val="134"/>
      </rPr>
      <t>113</t>
    </r>
    <r>
      <rPr>
        <sz val="14"/>
        <color rgb="FFFF0000"/>
        <rFont val="Songti SC Regular"/>
        <charset val="134"/>
      </rPr>
      <t>号）以及吉尔吉斯共和国内阁决议</t>
    </r>
    <r>
      <rPr>
        <sz val="14"/>
        <color rgb="FFFF0000"/>
        <rFont val="Palatino Regular"/>
        <charset val="134"/>
      </rPr>
      <t>“</t>
    </r>
    <r>
      <rPr>
        <sz val="14"/>
        <color rgb="FFFF0000"/>
        <rFont val="Songti SC Regular"/>
        <charset val="134"/>
      </rPr>
      <t>关于批准税收优惠的工业活动优惠类型清单</t>
    </r>
    <r>
      <rPr>
        <sz val="14"/>
        <color rgb="FFFF0000"/>
        <rFont val="Palatino Regular"/>
        <charset val="134"/>
      </rPr>
      <t xml:space="preserve"> Об утверждении перечня преференциальных видов промышленной деятельности, подлежащих льготному налогообложению”</t>
    </r>
    <r>
      <rPr>
        <sz val="14"/>
        <color rgb="FFFF0000"/>
        <rFont val="Songti SC Regular"/>
        <charset val="134"/>
      </rPr>
      <t>（</t>
    </r>
    <r>
      <rPr>
        <sz val="14"/>
        <color rgb="FFFF0000"/>
        <rFont val="Palatino Regular"/>
        <charset val="134"/>
      </rPr>
      <t xml:space="preserve">2024 </t>
    </r>
    <r>
      <rPr>
        <sz val="14"/>
        <color rgb="FFFF0000"/>
        <rFont val="Songti SC Regular"/>
        <charset val="134"/>
      </rPr>
      <t>年</t>
    </r>
    <r>
      <rPr>
        <sz val="14"/>
        <color rgb="FFFF0000"/>
        <rFont val="Palatino Regular"/>
        <charset val="134"/>
      </rPr>
      <t xml:space="preserve"> 9 </t>
    </r>
    <r>
      <rPr>
        <sz val="14"/>
        <color rgb="FFFF0000"/>
        <rFont val="Songti SC Regular"/>
        <charset val="134"/>
      </rPr>
      <t>月</t>
    </r>
    <r>
      <rPr>
        <sz val="14"/>
        <color rgb="FFFF0000"/>
        <rFont val="Palatino Regular"/>
        <charset val="134"/>
      </rPr>
      <t xml:space="preserve"> 13 </t>
    </r>
    <r>
      <rPr>
        <sz val="14"/>
        <color rgb="FFFF0000"/>
        <rFont val="Songti SC Regular"/>
        <charset val="134"/>
      </rPr>
      <t>日第</t>
    </r>
    <r>
      <rPr>
        <sz val="14"/>
        <color rgb="FFFF0000"/>
        <rFont val="Palatino Regular"/>
        <charset val="134"/>
      </rPr>
      <t xml:space="preserve"> 571 </t>
    </r>
    <r>
      <rPr>
        <sz val="14"/>
        <color rgb="FFFF0000"/>
        <rFont val="Songti SC Regular"/>
        <charset val="134"/>
      </rPr>
      <t>号）的法律条款规定，投资者在巴特肯地区投资建设光伏发电设施，应该享受</t>
    </r>
    <r>
      <rPr>
        <sz val="14"/>
        <color rgb="FFFF0000"/>
        <rFont val="Palatino Regular"/>
        <charset val="134"/>
      </rPr>
      <t xml:space="preserve">:
1. </t>
    </r>
    <r>
      <rPr>
        <sz val="14"/>
        <color rgb="FFFF0000"/>
        <rFont val="Songti SC Regular"/>
        <charset val="134"/>
      </rPr>
      <t>进口货物增值税（税法</t>
    </r>
    <r>
      <rPr>
        <sz val="14"/>
        <color rgb="FFFF0000"/>
        <rFont val="Palatino Regular"/>
        <charset val="134"/>
      </rPr>
      <t>297</t>
    </r>
    <r>
      <rPr>
        <sz val="14"/>
        <color rgb="FFFF0000"/>
        <rFont val="Songti SC Regular"/>
        <charset val="134"/>
      </rPr>
      <t>条第</t>
    </r>
    <r>
      <rPr>
        <sz val="14"/>
        <color rgb="FFFF0000"/>
        <rFont val="Palatino Regular"/>
        <charset val="134"/>
      </rPr>
      <t xml:space="preserve"> 1</t>
    </r>
    <r>
      <rPr>
        <sz val="14"/>
        <color rgb="FFFF0000"/>
        <rFont val="Songti SC Regular"/>
        <charset val="134"/>
      </rPr>
      <t>条第</t>
    </r>
    <r>
      <rPr>
        <sz val="14"/>
        <color rgb="FFFF0000"/>
        <rFont val="Palatino Regular"/>
        <charset val="134"/>
      </rPr>
      <t xml:space="preserve"> 20 </t>
    </r>
    <r>
      <rPr>
        <sz val="14"/>
        <color rgb="FFFF0000"/>
        <rFont val="Songti SC Regular"/>
        <charset val="134"/>
      </rPr>
      <t>款）</t>
    </r>
    <r>
      <rPr>
        <sz val="14"/>
        <color rgb="FFFF0000"/>
        <rFont val="Palatino Regular"/>
        <charset val="134"/>
      </rPr>
      <t xml:space="preserve">;
2. </t>
    </r>
    <r>
      <rPr>
        <sz val="14"/>
        <color rgb="FFFF0000"/>
        <rFont val="Songti SC Regular"/>
        <charset val="134"/>
      </rPr>
      <t>利得税（税法</t>
    </r>
    <r>
      <rPr>
        <sz val="14"/>
        <color rgb="FFFF0000"/>
        <rFont val="Palatino Regular"/>
        <charset val="134"/>
      </rPr>
      <t>240</t>
    </r>
    <r>
      <rPr>
        <sz val="14"/>
        <color rgb="FFFF0000"/>
        <rFont val="Songti SC Regular"/>
        <charset val="134"/>
      </rPr>
      <t>条第</t>
    </r>
    <r>
      <rPr>
        <sz val="14"/>
        <color rgb="FFFF0000"/>
        <rFont val="Palatino Regular"/>
        <charset val="134"/>
      </rPr>
      <t>3</t>
    </r>
    <r>
      <rPr>
        <sz val="14"/>
        <color rgb="FFFF0000"/>
        <rFont val="Songti SC Regular"/>
        <charset val="134"/>
      </rPr>
      <t>款）</t>
    </r>
    <r>
      <rPr>
        <sz val="14"/>
        <color rgb="FFFF0000"/>
        <rFont val="Palatino Regular"/>
        <charset val="134"/>
      </rPr>
      <t xml:space="preserve">;
3. </t>
    </r>
    <r>
      <rPr>
        <sz val="14"/>
        <color rgb="FFFF0000"/>
        <rFont val="Songti SC Regular"/>
        <charset val="134"/>
      </rPr>
      <t>销售税（税法</t>
    </r>
    <r>
      <rPr>
        <sz val="14"/>
        <color rgb="FFFF0000"/>
        <rFont val="Palatino Regular"/>
        <charset val="134"/>
      </rPr>
      <t>364</t>
    </r>
    <r>
      <rPr>
        <sz val="14"/>
        <color rgb="FFFF0000"/>
        <rFont val="Songti SC Regular"/>
        <charset val="134"/>
      </rPr>
      <t>条第</t>
    </r>
    <r>
      <rPr>
        <sz val="14"/>
        <color rgb="FFFF0000"/>
        <rFont val="Palatino Regular"/>
        <charset val="134"/>
      </rPr>
      <t>1</t>
    </r>
    <r>
      <rPr>
        <sz val="14"/>
        <color rgb="FFFF0000"/>
        <rFont val="Songti SC Regular"/>
        <charset val="134"/>
      </rPr>
      <t>条第</t>
    </r>
    <r>
      <rPr>
        <sz val="14"/>
        <color rgb="FFFF0000"/>
        <rFont val="Palatino Regular"/>
        <charset val="134"/>
      </rPr>
      <t>5</t>
    </r>
    <r>
      <rPr>
        <sz val="14"/>
        <color rgb="FFFF0000"/>
        <rFont val="Songti SC Regular"/>
        <charset val="134"/>
      </rPr>
      <t>款）</t>
    </r>
    <r>
      <rPr>
        <sz val="14"/>
        <color rgb="FFFF0000"/>
        <rFont val="Palatino Regular"/>
        <charset val="134"/>
      </rPr>
      <t>;
4.</t>
    </r>
    <r>
      <rPr>
        <sz val="14"/>
        <color rgb="FFFF0000"/>
        <rFont val="Songti SC Regular"/>
        <charset val="134"/>
      </rPr>
      <t>土地财产税（税法</t>
    </r>
    <r>
      <rPr>
        <sz val="14"/>
        <color rgb="FFFF0000"/>
        <rFont val="Palatino Regular"/>
        <charset val="134"/>
      </rPr>
      <t>212</t>
    </r>
    <r>
      <rPr>
        <sz val="14"/>
        <color rgb="FFFF0000"/>
        <rFont val="Songti SC Regular"/>
        <charset val="134"/>
      </rPr>
      <t>条第13节第</t>
    </r>
    <r>
      <rPr>
        <sz val="14"/>
        <color rgb="FFFF0000"/>
        <rFont val="Palatino Regular"/>
        <charset val="134"/>
      </rPr>
      <t xml:space="preserve"> 1</t>
    </r>
    <r>
      <rPr>
        <sz val="14"/>
        <color rgb="FFFF0000"/>
        <rFont val="Songti SC Regular"/>
        <charset val="134"/>
      </rPr>
      <t>款</t>
    </r>
    <r>
      <rPr>
        <sz val="14"/>
        <color rgb="FFFF0000"/>
        <rFont val="Palatino Regular"/>
        <charset val="134"/>
      </rPr>
      <t xml:space="preserve"> c </t>
    </r>
    <r>
      <rPr>
        <sz val="14"/>
        <color rgb="FFFF0000"/>
        <rFont val="Songti SC Regular"/>
        <charset val="134"/>
      </rPr>
      <t>项）的豁免。</t>
    </r>
  </si>
  <si>
    <r>
      <rPr>
        <b/>
        <sz val="18"/>
        <rFont val="宋体"/>
        <charset val="134"/>
      </rPr>
      <t>利</t>
    </r>
    <r>
      <rPr>
        <b/>
        <sz val="18"/>
        <rFont val="Times New Roman"/>
        <charset val="134"/>
      </rPr>
      <t xml:space="preserve"> </t>
    </r>
    <r>
      <rPr>
        <b/>
        <sz val="18"/>
        <rFont val="宋体"/>
        <charset val="134"/>
      </rPr>
      <t>润</t>
    </r>
    <r>
      <rPr>
        <b/>
        <sz val="18"/>
        <rFont val="Times New Roman"/>
        <charset val="134"/>
      </rPr>
      <t xml:space="preserve"> </t>
    </r>
    <r>
      <rPr>
        <b/>
        <sz val="18"/>
        <rFont val="宋体"/>
        <charset val="134"/>
      </rPr>
      <t>和</t>
    </r>
    <r>
      <rPr>
        <b/>
        <sz val="18"/>
        <rFont val="Times New Roman"/>
        <charset val="134"/>
      </rPr>
      <t xml:space="preserve"> </t>
    </r>
    <r>
      <rPr>
        <b/>
        <sz val="18"/>
        <rFont val="宋体"/>
        <charset val="134"/>
      </rPr>
      <t>利</t>
    </r>
    <r>
      <rPr>
        <b/>
        <sz val="18"/>
        <rFont val="Times New Roman"/>
        <charset val="134"/>
      </rPr>
      <t xml:space="preserve"> </t>
    </r>
    <r>
      <rPr>
        <b/>
        <sz val="18"/>
        <rFont val="宋体"/>
        <charset val="134"/>
      </rPr>
      <t>润</t>
    </r>
    <r>
      <rPr>
        <b/>
        <sz val="18"/>
        <rFont val="Times New Roman"/>
        <charset val="134"/>
      </rPr>
      <t xml:space="preserve"> </t>
    </r>
    <r>
      <rPr>
        <b/>
        <sz val="18"/>
        <rFont val="宋体"/>
        <charset val="134"/>
      </rPr>
      <t>分</t>
    </r>
    <r>
      <rPr>
        <b/>
        <sz val="18"/>
        <rFont val="Times New Roman"/>
        <charset val="134"/>
      </rPr>
      <t xml:space="preserve"> </t>
    </r>
    <r>
      <rPr>
        <b/>
        <sz val="18"/>
        <rFont val="宋体"/>
        <charset val="134"/>
      </rPr>
      <t>配</t>
    </r>
    <r>
      <rPr>
        <b/>
        <sz val="18"/>
        <rFont val="Times New Roman"/>
        <charset val="134"/>
      </rPr>
      <t xml:space="preserve"> </t>
    </r>
    <r>
      <rPr>
        <b/>
        <sz val="18"/>
        <rFont val="宋体"/>
        <charset val="134"/>
      </rPr>
      <t>表</t>
    </r>
    <r>
      <rPr>
        <b/>
        <sz val="18"/>
        <rFont val="Times New Roman"/>
        <charset val="134"/>
      </rPr>
      <t xml:space="preserve">  </t>
    </r>
  </si>
  <si>
    <r>
      <rPr>
        <sz val="12"/>
        <rFont val="宋体"/>
        <charset val="134"/>
      </rPr>
      <t>单位</t>
    </r>
    <r>
      <rPr>
        <sz val="12"/>
        <rFont val="Times New Roman"/>
        <charset val="134"/>
      </rPr>
      <t>:</t>
    </r>
    <r>
      <rPr>
        <sz val="12"/>
        <rFont val="宋体"/>
        <charset val="134"/>
      </rPr>
      <t>万元</t>
    </r>
  </si>
  <si>
    <t>序</t>
  </si>
  <si>
    <r>
      <rPr>
        <sz val="12"/>
        <color theme="1"/>
        <rFont val="Times New Roman"/>
        <charset val="134"/>
      </rPr>
      <t xml:space="preserve">                                        </t>
    </r>
    <r>
      <rPr>
        <sz val="12"/>
        <color theme="1"/>
        <rFont val="宋体"/>
        <charset val="134"/>
      </rPr>
      <t>年份
名称</t>
    </r>
  </si>
  <si>
    <t>建设经营期</t>
  </si>
  <si>
    <t>号</t>
  </si>
  <si>
    <t>营业收入（不含增值税和销售税）</t>
  </si>
  <si>
    <t>增值税实际收入</t>
  </si>
  <si>
    <t>营业税金及附加</t>
  </si>
  <si>
    <t>总成本费用</t>
  </si>
  <si>
    <r>
      <rPr>
        <sz val="12"/>
        <color theme="1"/>
        <rFont val="宋体-简"/>
        <charset val="134"/>
      </rPr>
      <t>利润总额（</t>
    </r>
    <r>
      <rPr>
        <sz val="12"/>
        <color theme="1"/>
        <rFont val="Times New Roman"/>
        <charset val="134"/>
      </rPr>
      <t>1+2-3-4</t>
    </r>
    <r>
      <rPr>
        <sz val="12"/>
        <color theme="1"/>
        <rFont val="宋体-简"/>
        <charset val="134"/>
      </rPr>
      <t>）</t>
    </r>
  </si>
  <si>
    <t>税前弥补以前年度亏损</t>
  </si>
  <si>
    <r>
      <rPr>
        <sz val="12"/>
        <color theme="1"/>
        <rFont val="宋体"/>
        <charset val="134"/>
      </rPr>
      <t>应纳税所得额（</t>
    </r>
    <r>
      <rPr>
        <sz val="12"/>
        <color theme="1"/>
        <rFont val="Times New Roman"/>
        <charset val="134"/>
      </rPr>
      <t>5+6</t>
    </r>
    <r>
      <rPr>
        <sz val="12"/>
        <color theme="1"/>
        <rFont val="宋体"/>
        <charset val="134"/>
      </rPr>
      <t>）</t>
    </r>
  </si>
  <si>
    <t>净利润（5-8）</t>
  </si>
  <si>
    <t>税后弥补之前亏损</t>
  </si>
  <si>
    <t>期初未分配利润</t>
  </si>
  <si>
    <r>
      <rPr>
        <sz val="12"/>
        <color theme="1"/>
        <rFont val="宋体"/>
        <charset val="134"/>
      </rPr>
      <t>可供分配利润（</t>
    </r>
    <r>
      <rPr>
        <sz val="12"/>
        <color theme="1"/>
        <rFont val="Times New Roman"/>
        <charset val="134"/>
      </rPr>
      <t>9+11</t>
    </r>
    <r>
      <rPr>
        <sz val="12"/>
        <color theme="1"/>
        <rFont val="宋体"/>
        <charset val="134"/>
      </rPr>
      <t>）</t>
    </r>
  </si>
  <si>
    <r>
      <rPr>
        <sz val="12"/>
        <color theme="1"/>
        <rFont val="宋体"/>
        <charset val="134"/>
      </rPr>
      <t>可供投资者分配的利润（</t>
    </r>
    <r>
      <rPr>
        <sz val="12"/>
        <color theme="1"/>
        <rFont val="Times New Roman"/>
        <charset val="134"/>
      </rPr>
      <t>11+12-13-14</t>
    </r>
    <r>
      <rPr>
        <sz val="12"/>
        <color theme="1"/>
        <rFont val="宋体"/>
        <charset val="134"/>
      </rPr>
      <t>）</t>
    </r>
  </si>
  <si>
    <t>应付优先股股利</t>
  </si>
  <si>
    <t>提取任意盈余公积金</t>
  </si>
  <si>
    <r>
      <rPr>
        <sz val="12"/>
        <color theme="1"/>
        <rFont val="宋体"/>
        <charset val="134"/>
      </rPr>
      <t>应付普通股股利（</t>
    </r>
    <r>
      <rPr>
        <sz val="12"/>
        <color theme="1"/>
        <rFont val="Times New Roman"/>
        <charset val="134"/>
      </rPr>
      <t>15-16-17</t>
    </r>
    <r>
      <rPr>
        <sz val="12"/>
        <color theme="1"/>
        <rFont val="宋体"/>
        <charset val="134"/>
      </rPr>
      <t>）</t>
    </r>
  </si>
  <si>
    <t>各投资方利润分配</t>
  </si>
  <si>
    <r>
      <rPr>
        <sz val="12"/>
        <color theme="1"/>
        <rFont val="宋体"/>
        <charset val="134"/>
      </rPr>
      <t>未分配利润（</t>
    </r>
    <r>
      <rPr>
        <sz val="12"/>
        <color theme="1"/>
        <rFont val="Times New Roman"/>
        <charset val="134"/>
      </rPr>
      <t>15-16-17-19</t>
    </r>
    <r>
      <rPr>
        <sz val="12"/>
        <color theme="1"/>
        <rFont val="宋体"/>
        <charset val="134"/>
      </rPr>
      <t>）</t>
    </r>
  </si>
  <si>
    <t>息税前利润（利润总额+ 利息支出）</t>
  </si>
  <si>
    <t>息税折旧摊销前利润（息税前利润+折旧+摊销）</t>
  </si>
  <si>
    <t>平均值</t>
  </si>
  <si>
    <t>补贴有延迟时的净利润</t>
  </si>
  <si>
    <t>补贴无延迟时的净利润</t>
  </si>
  <si>
    <t>补贴无延迟时的所得税</t>
  </si>
  <si>
    <t>付息</t>
  </si>
  <si>
    <t>期初负债余额</t>
  </si>
  <si>
    <t>实际净现金流</t>
  </si>
  <si>
    <r>
      <rPr>
        <sz val="12"/>
        <color theme="1"/>
        <rFont val="方正书宋_GBK"/>
        <charset val="134"/>
      </rPr>
      <t>年平均</t>
    </r>
    <r>
      <rPr>
        <sz val="12"/>
        <color theme="1"/>
        <rFont val="Times New Roman"/>
        <charset val="134"/>
      </rPr>
      <t>EVA</t>
    </r>
  </si>
  <si>
    <t>EVA = 税后净营业利润（NOPAT）-（【加权平均资本成本】WACC*【投资资本总额】TC）</t>
  </si>
  <si>
    <t>税后净营业利润（NOPAT） = 营业利润+ 财务费用+ 投资收益- EVA税收调整</t>
  </si>
  <si>
    <t>EVA税收调整 = 利润表上所得税 + 税率 ×（财务费用 + 营业外支出 - 营业外收入）</t>
  </si>
  <si>
    <t>折现率</t>
  </si>
  <si>
    <t>股权价值</t>
  </si>
  <si>
    <t>项目投资现金流量表</t>
  </si>
  <si>
    <r>
      <rPr>
        <sz val="12"/>
        <rFont val="Times New Roman"/>
        <charset val="134"/>
      </rPr>
      <t xml:space="preserve">                                           </t>
    </r>
    <r>
      <rPr>
        <sz val="12"/>
        <rFont val="宋体"/>
        <charset val="134"/>
      </rPr>
      <t xml:space="preserve">年份
</t>
    </r>
    <r>
      <rPr>
        <sz val="12"/>
        <rFont val="Times New Roman"/>
        <charset val="134"/>
      </rPr>
      <t xml:space="preserve">          </t>
    </r>
    <r>
      <rPr>
        <sz val="12"/>
        <rFont val="宋体"/>
        <charset val="134"/>
      </rPr>
      <t>名称</t>
    </r>
  </si>
  <si>
    <t>建设营运期</t>
  </si>
  <si>
    <r>
      <rPr>
        <b/>
        <sz val="12"/>
        <rFont val="Times New Roman"/>
        <charset val="134"/>
      </rPr>
      <t>“</t>
    </r>
    <r>
      <rPr>
        <b/>
        <sz val="12"/>
        <rFont val="宋体"/>
        <charset val="134"/>
      </rPr>
      <t>增量</t>
    </r>
    <r>
      <rPr>
        <b/>
        <sz val="12"/>
        <rFont val="Times New Roman"/>
        <charset val="134"/>
      </rPr>
      <t>”</t>
    </r>
    <r>
      <rPr>
        <b/>
        <sz val="12"/>
        <rFont val="宋体"/>
        <charset val="134"/>
      </rPr>
      <t>现金流入</t>
    </r>
  </si>
  <si>
    <t>营业收入</t>
  </si>
  <si>
    <t>固定资产增值税抵扣</t>
  </si>
  <si>
    <t>回收固定资产余值</t>
  </si>
  <si>
    <t>回收流动资金</t>
  </si>
  <si>
    <r>
      <rPr>
        <b/>
        <sz val="12"/>
        <rFont val="Times New Roman"/>
        <charset val="134"/>
      </rPr>
      <t>“</t>
    </r>
    <r>
      <rPr>
        <b/>
        <sz val="12"/>
        <rFont val="宋体"/>
        <charset val="134"/>
      </rPr>
      <t>增量</t>
    </r>
    <r>
      <rPr>
        <b/>
        <sz val="12"/>
        <rFont val="Times New Roman"/>
        <charset val="134"/>
      </rPr>
      <t>”</t>
    </r>
    <r>
      <rPr>
        <b/>
        <sz val="12"/>
        <rFont val="宋体"/>
        <charset val="134"/>
      </rPr>
      <t>现金流出</t>
    </r>
  </si>
  <si>
    <t>建设投资（不含建设期利息）</t>
  </si>
  <si>
    <t>经营成本</t>
  </si>
  <si>
    <t>维持运营投资</t>
  </si>
  <si>
    <r>
      <rPr>
        <b/>
        <sz val="12"/>
        <rFont val="宋体"/>
        <charset val="134"/>
      </rPr>
      <t>所得税前</t>
    </r>
    <r>
      <rPr>
        <b/>
        <sz val="12"/>
        <rFont val="Times New Roman"/>
        <charset val="134"/>
      </rPr>
      <t>“</t>
    </r>
    <r>
      <rPr>
        <b/>
        <sz val="12"/>
        <rFont val="宋体"/>
        <charset val="134"/>
      </rPr>
      <t>增量</t>
    </r>
    <r>
      <rPr>
        <b/>
        <sz val="12"/>
        <rFont val="Times New Roman"/>
        <charset val="134"/>
      </rPr>
      <t>”</t>
    </r>
    <r>
      <rPr>
        <b/>
        <sz val="12"/>
        <rFont val="宋体"/>
        <charset val="134"/>
      </rPr>
      <t>净现金流量</t>
    </r>
  </si>
  <si>
    <r>
      <rPr>
        <b/>
        <sz val="12"/>
        <rFont val="宋体"/>
        <charset val="134"/>
      </rPr>
      <t>累计所得税前</t>
    </r>
    <r>
      <rPr>
        <b/>
        <sz val="12"/>
        <rFont val="Times New Roman"/>
        <charset val="134"/>
      </rPr>
      <t>“</t>
    </r>
    <r>
      <rPr>
        <b/>
        <sz val="12"/>
        <rFont val="宋体"/>
        <charset val="134"/>
      </rPr>
      <t>增量</t>
    </r>
    <r>
      <rPr>
        <b/>
        <sz val="12"/>
        <rFont val="Times New Roman"/>
        <charset val="134"/>
      </rPr>
      <t>”</t>
    </r>
    <r>
      <rPr>
        <b/>
        <sz val="12"/>
        <rFont val="宋体"/>
        <charset val="134"/>
      </rPr>
      <t>净现金流量</t>
    </r>
  </si>
  <si>
    <r>
      <rPr>
        <b/>
        <sz val="12"/>
        <rFont val="宋体"/>
        <charset val="134"/>
      </rPr>
      <t>调整</t>
    </r>
    <r>
      <rPr>
        <b/>
        <sz val="12"/>
        <rFont val="Times New Roman"/>
        <charset val="134"/>
      </rPr>
      <t>“</t>
    </r>
    <r>
      <rPr>
        <b/>
        <sz val="12"/>
        <rFont val="宋体"/>
        <charset val="134"/>
      </rPr>
      <t>增量</t>
    </r>
    <r>
      <rPr>
        <b/>
        <sz val="12"/>
        <rFont val="Times New Roman"/>
        <charset val="134"/>
      </rPr>
      <t>”</t>
    </r>
    <r>
      <rPr>
        <b/>
        <sz val="12"/>
        <rFont val="宋体"/>
        <charset val="134"/>
      </rPr>
      <t>所得税</t>
    </r>
  </si>
  <si>
    <r>
      <rPr>
        <b/>
        <sz val="12"/>
        <rFont val="宋体"/>
        <charset val="134"/>
      </rPr>
      <t>调整</t>
    </r>
    <r>
      <rPr>
        <b/>
        <sz val="12"/>
        <rFont val="Times New Roman"/>
        <charset val="134"/>
      </rPr>
      <t>“</t>
    </r>
    <r>
      <rPr>
        <b/>
        <sz val="12"/>
        <rFont val="宋体"/>
        <charset val="134"/>
      </rPr>
      <t>增量</t>
    </r>
    <r>
      <rPr>
        <b/>
        <sz val="12"/>
        <rFont val="Times New Roman"/>
        <charset val="134"/>
      </rPr>
      <t>”</t>
    </r>
    <r>
      <rPr>
        <b/>
        <sz val="12"/>
        <rFont val="宋体"/>
        <charset val="134"/>
      </rPr>
      <t>反税基侵蚀补税/预扣税</t>
    </r>
  </si>
  <si>
    <r>
      <rPr>
        <b/>
        <sz val="12"/>
        <rFont val="宋体"/>
        <charset val="134"/>
      </rPr>
      <t>所得税后</t>
    </r>
    <r>
      <rPr>
        <b/>
        <sz val="12"/>
        <rFont val="Times New Roman"/>
        <charset val="134"/>
      </rPr>
      <t>“</t>
    </r>
    <r>
      <rPr>
        <b/>
        <sz val="12"/>
        <rFont val="宋体"/>
        <charset val="134"/>
      </rPr>
      <t>增量</t>
    </r>
    <r>
      <rPr>
        <b/>
        <sz val="12"/>
        <rFont val="Times New Roman"/>
        <charset val="134"/>
      </rPr>
      <t>”</t>
    </r>
    <r>
      <rPr>
        <b/>
        <sz val="12"/>
        <rFont val="宋体"/>
        <charset val="134"/>
      </rPr>
      <t>净现金流量</t>
    </r>
  </si>
  <si>
    <r>
      <rPr>
        <b/>
        <sz val="12"/>
        <rFont val="宋体"/>
        <charset val="134"/>
      </rPr>
      <t>累计所得税后</t>
    </r>
    <r>
      <rPr>
        <b/>
        <sz val="12"/>
        <rFont val="Times New Roman"/>
        <charset val="134"/>
      </rPr>
      <t>“</t>
    </r>
    <r>
      <rPr>
        <b/>
        <sz val="12"/>
        <rFont val="宋体"/>
        <charset val="134"/>
      </rPr>
      <t>增量</t>
    </r>
    <r>
      <rPr>
        <b/>
        <sz val="12"/>
        <rFont val="Times New Roman"/>
        <charset val="134"/>
      </rPr>
      <t>”</t>
    </r>
    <r>
      <rPr>
        <b/>
        <sz val="12"/>
        <rFont val="宋体"/>
        <charset val="134"/>
      </rPr>
      <t>净现金流量</t>
    </r>
  </si>
  <si>
    <t>计算指标</t>
  </si>
  <si>
    <r>
      <rPr>
        <sz val="12"/>
        <rFont val="宋体"/>
        <charset val="134"/>
      </rPr>
      <t>项目增量财务内部收益率（</t>
    </r>
    <r>
      <rPr>
        <sz val="12"/>
        <rFont val="Times New Roman"/>
        <charset val="134"/>
      </rPr>
      <t>%</t>
    </r>
    <r>
      <rPr>
        <sz val="12"/>
        <rFont val="宋体"/>
        <charset val="134"/>
      </rPr>
      <t>）（所得税前）</t>
    </r>
  </si>
  <si>
    <r>
      <rPr>
        <sz val="12"/>
        <rFont val="宋体"/>
        <charset val="134"/>
      </rPr>
      <t>项目增量财务内部收益率（</t>
    </r>
    <r>
      <rPr>
        <sz val="12"/>
        <rFont val="Times New Roman"/>
        <charset val="134"/>
      </rPr>
      <t>%</t>
    </r>
    <r>
      <rPr>
        <sz val="12"/>
        <rFont val="宋体"/>
        <charset val="134"/>
      </rPr>
      <t>）（所得税后）</t>
    </r>
  </si>
  <si>
    <t>增量投资回收期（年）（所得税前）</t>
  </si>
  <si>
    <t>增量投资回收期（年）（所得税后）</t>
  </si>
  <si>
    <t>资本金现金流量表</t>
  </si>
  <si>
    <r>
      <rPr>
        <sz val="12"/>
        <rFont val="Times New Roman"/>
        <charset val="134"/>
      </rPr>
      <t xml:space="preserve">                                      </t>
    </r>
    <r>
      <rPr>
        <sz val="12"/>
        <rFont val="宋体"/>
        <charset val="134"/>
      </rPr>
      <t xml:space="preserve">年份
</t>
    </r>
    <r>
      <rPr>
        <sz val="12"/>
        <rFont val="Times New Roman"/>
        <charset val="134"/>
      </rPr>
      <t xml:space="preserve">        </t>
    </r>
    <r>
      <rPr>
        <sz val="12"/>
        <rFont val="宋体"/>
        <charset val="134"/>
      </rPr>
      <t>名称</t>
    </r>
  </si>
  <si>
    <t>“增量”现金流入</t>
  </si>
  <si>
    <t>增值税初始收入</t>
  </si>
  <si>
    <t>“增量”现金流出</t>
  </si>
  <si>
    <t>项目资本金</t>
  </si>
  <si>
    <t>借款本金偿还</t>
  </si>
  <si>
    <t>借款利息支付</t>
  </si>
  <si>
    <t>所得税</t>
  </si>
  <si>
    <t>反税基侵蚀补税/预扣税</t>
  </si>
  <si>
    <t>净现金流量（所得税前）</t>
  </si>
  <si>
    <t>累计净现金流量（所得税前）</t>
  </si>
  <si>
    <t>净现金流量（所得税后）</t>
  </si>
  <si>
    <t>累计净现金流量（所得税后）</t>
  </si>
  <si>
    <r>
      <rPr>
        <b/>
        <sz val="12"/>
        <rFont val="宋体-简"/>
        <charset val="134"/>
      </rPr>
      <t>财务内部收益</t>
    </r>
    <r>
      <rPr>
        <b/>
        <sz val="12"/>
        <rFont val="Times New Roman"/>
        <charset val="134"/>
      </rPr>
      <t>(%)</t>
    </r>
    <r>
      <rPr>
        <b/>
        <sz val="12"/>
        <rFont val="宋体-简"/>
        <charset val="134"/>
      </rPr>
      <t>（所得税前）</t>
    </r>
  </si>
  <si>
    <t>投资回收期（所得税前）</t>
  </si>
  <si>
    <r>
      <rPr>
        <b/>
        <sz val="12"/>
        <rFont val="宋体-简"/>
        <charset val="134"/>
      </rPr>
      <t>财务内部收益</t>
    </r>
    <r>
      <rPr>
        <b/>
        <sz val="12"/>
        <rFont val="Times New Roman"/>
        <charset val="134"/>
      </rPr>
      <t>(%)</t>
    </r>
    <r>
      <rPr>
        <b/>
        <sz val="12"/>
        <rFont val="宋体-简"/>
        <charset val="134"/>
      </rPr>
      <t>（所得税后）</t>
    </r>
  </si>
  <si>
    <t>投资回收期（所得税后）</t>
  </si>
  <si>
    <r>
      <rPr>
        <b/>
        <sz val="18"/>
        <rFont val="宋体"/>
        <charset val="134"/>
      </rPr>
      <t>资</t>
    </r>
    <r>
      <rPr>
        <b/>
        <sz val="18"/>
        <rFont val="Times New Roman"/>
        <charset val="134"/>
      </rPr>
      <t xml:space="preserve"> </t>
    </r>
    <r>
      <rPr>
        <b/>
        <sz val="18"/>
        <rFont val="宋体"/>
        <charset val="134"/>
      </rPr>
      <t>产</t>
    </r>
    <r>
      <rPr>
        <b/>
        <sz val="18"/>
        <rFont val="Times New Roman"/>
        <charset val="134"/>
      </rPr>
      <t xml:space="preserve"> </t>
    </r>
    <r>
      <rPr>
        <b/>
        <sz val="18"/>
        <rFont val="宋体"/>
        <charset val="134"/>
      </rPr>
      <t>负</t>
    </r>
    <r>
      <rPr>
        <b/>
        <sz val="18"/>
        <rFont val="Times New Roman"/>
        <charset val="134"/>
      </rPr>
      <t xml:space="preserve"> </t>
    </r>
    <r>
      <rPr>
        <b/>
        <sz val="18"/>
        <rFont val="宋体"/>
        <charset val="134"/>
      </rPr>
      <t>债</t>
    </r>
    <r>
      <rPr>
        <b/>
        <sz val="18"/>
        <rFont val="Times New Roman"/>
        <charset val="134"/>
      </rPr>
      <t xml:space="preserve"> </t>
    </r>
    <r>
      <rPr>
        <b/>
        <sz val="18"/>
        <rFont val="宋体"/>
        <charset val="134"/>
      </rPr>
      <t>表</t>
    </r>
  </si>
  <si>
    <r>
      <rPr>
        <sz val="12"/>
        <rFont val="Times New Roman"/>
        <charset val="134"/>
      </rPr>
      <t xml:space="preserve">                             </t>
    </r>
    <r>
      <rPr>
        <sz val="12"/>
        <rFont val="宋体"/>
        <charset val="134"/>
      </rPr>
      <t>年份
名称</t>
    </r>
  </si>
  <si>
    <t>资产</t>
  </si>
  <si>
    <t>流动资产总额</t>
  </si>
  <si>
    <t>流动资产</t>
  </si>
  <si>
    <t>累计盈余资金</t>
  </si>
  <si>
    <t>在建工程</t>
  </si>
  <si>
    <t>固定资产净值</t>
  </si>
  <si>
    <t>无形及递延资产净值</t>
  </si>
  <si>
    <t>可抵扣增值税形成资产</t>
  </si>
  <si>
    <t>check sum</t>
  </si>
  <si>
    <t>负债和所有者权益</t>
  </si>
  <si>
    <t>流动负债总额</t>
  </si>
  <si>
    <t>2.1.1</t>
  </si>
  <si>
    <t>短期借款</t>
  </si>
  <si>
    <t>2.1.4</t>
  </si>
  <si>
    <t>长期借款</t>
  </si>
  <si>
    <t>流动资金借款</t>
  </si>
  <si>
    <t>负债小计（2.1+2.2+2.3）</t>
  </si>
  <si>
    <t>所有者权益</t>
  </si>
  <si>
    <t>2.4.1</t>
  </si>
  <si>
    <t>资本金</t>
  </si>
  <si>
    <t>2.4.2</t>
  </si>
  <si>
    <t>资本公积金</t>
  </si>
  <si>
    <t>2.4.3</t>
  </si>
  <si>
    <t>累计盈余公积金</t>
  </si>
  <si>
    <t>2.4.4</t>
  </si>
  <si>
    <t>累计未分配利润</t>
  </si>
  <si>
    <t>2.4.5</t>
  </si>
  <si>
    <t>资产负债率(%)</t>
  </si>
  <si>
    <t>ROE</t>
  </si>
  <si>
    <t>平均ROE</t>
  </si>
  <si>
    <r>
      <rPr>
        <b/>
        <sz val="10"/>
        <rFont val="宋体"/>
        <charset val="134"/>
      </rPr>
      <t>总</t>
    </r>
    <r>
      <rPr>
        <b/>
        <sz val="10"/>
        <rFont val="Times New Roman"/>
        <charset val="134"/>
      </rPr>
      <t xml:space="preserve"> </t>
    </r>
    <r>
      <rPr>
        <b/>
        <sz val="10"/>
        <rFont val="宋体"/>
        <charset val="134"/>
      </rPr>
      <t>成</t>
    </r>
    <r>
      <rPr>
        <b/>
        <sz val="10"/>
        <rFont val="Times New Roman"/>
        <charset val="134"/>
      </rPr>
      <t xml:space="preserve"> </t>
    </r>
    <r>
      <rPr>
        <b/>
        <sz val="10"/>
        <rFont val="宋体"/>
        <charset val="134"/>
      </rPr>
      <t>本</t>
    </r>
    <r>
      <rPr>
        <b/>
        <sz val="10"/>
        <rFont val="Times New Roman"/>
        <charset val="134"/>
      </rPr>
      <t xml:space="preserve"> </t>
    </r>
    <r>
      <rPr>
        <b/>
        <sz val="10"/>
        <rFont val="宋体"/>
        <charset val="134"/>
      </rPr>
      <t>费</t>
    </r>
    <r>
      <rPr>
        <b/>
        <sz val="10"/>
        <rFont val="Times New Roman"/>
        <charset val="134"/>
      </rPr>
      <t xml:space="preserve"> </t>
    </r>
    <r>
      <rPr>
        <b/>
        <sz val="10"/>
        <rFont val="宋体"/>
        <charset val="134"/>
      </rPr>
      <t>用</t>
    </r>
    <r>
      <rPr>
        <b/>
        <sz val="10"/>
        <rFont val="Times New Roman"/>
        <charset val="134"/>
      </rPr>
      <t xml:space="preserve"> </t>
    </r>
    <r>
      <rPr>
        <b/>
        <sz val="10"/>
        <rFont val="宋体"/>
        <charset val="134"/>
      </rPr>
      <t>表</t>
    </r>
    <r>
      <rPr>
        <b/>
        <sz val="10"/>
        <rFont val="Times New Roman"/>
        <charset val="134"/>
      </rPr>
      <t xml:space="preserve"> </t>
    </r>
  </si>
  <si>
    <r>
      <rPr>
        <sz val="10"/>
        <rFont val="宋体"/>
        <charset val="134"/>
      </rPr>
      <t>单位</t>
    </r>
    <r>
      <rPr>
        <sz val="10"/>
        <rFont val="Times New Roman"/>
        <charset val="134"/>
      </rPr>
      <t>:</t>
    </r>
    <r>
      <rPr>
        <sz val="10"/>
        <rFont val="宋体"/>
        <charset val="134"/>
      </rPr>
      <t>万元</t>
    </r>
  </si>
  <si>
    <r>
      <rPr>
        <sz val="10"/>
        <rFont val="Times New Roman"/>
        <charset val="134"/>
      </rPr>
      <t xml:space="preserve">                            </t>
    </r>
    <r>
      <rPr>
        <sz val="10"/>
        <rFont val="宋体"/>
        <charset val="134"/>
      </rPr>
      <t>年份
名称</t>
    </r>
  </si>
  <si>
    <t>工资及福利费</t>
  </si>
  <si>
    <t>维修费</t>
  </si>
  <si>
    <t>保险费</t>
  </si>
  <si>
    <t>土地租金</t>
  </si>
  <si>
    <t>土地税</t>
  </si>
  <si>
    <t>销售税</t>
  </si>
  <si>
    <t>到期拆除费</t>
  </si>
  <si>
    <t>海域使用费</t>
  </si>
  <si>
    <t>外委费用</t>
  </si>
  <si>
    <r>
      <rPr>
        <sz val="10"/>
        <rFont val="宋体"/>
        <charset val="134"/>
      </rPr>
      <t>经营成本</t>
    </r>
    <r>
      <rPr>
        <sz val="10"/>
        <rFont val="Times New Roman"/>
        <charset val="134"/>
      </rPr>
      <t>(1~11</t>
    </r>
    <r>
      <rPr>
        <sz val="10"/>
        <rFont val="宋体"/>
        <charset val="134"/>
      </rPr>
      <t>项合计</t>
    </r>
    <r>
      <rPr>
        <sz val="10"/>
        <rFont val="Times New Roman"/>
        <charset val="134"/>
      </rPr>
      <t>)</t>
    </r>
  </si>
  <si>
    <t>折旧费</t>
  </si>
  <si>
    <t>摊销</t>
  </si>
  <si>
    <t>财务费用</t>
  </si>
  <si>
    <r>
      <rPr>
        <sz val="10"/>
        <rFont val="宋体"/>
        <charset val="134"/>
      </rPr>
      <t>总成本费用合计</t>
    </r>
    <r>
      <rPr>
        <sz val="10"/>
        <rFont val="Times New Roman"/>
        <charset val="134"/>
      </rPr>
      <t>(13~15</t>
    </r>
    <r>
      <rPr>
        <sz val="10"/>
        <rFont val="宋体"/>
        <charset val="134"/>
      </rPr>
      <t>合计</t>
    </r>
    <r>
      <rPr>
        <sz val="10"/>
        <rFont val="Times New Roman"/>
        <charset val="134"/>
      </rPr>
      <t>)</t>
    </r>
  </si>
  <si>
    <t>其中:固定成本</t>
  </si>
  <si>
    <r>
      <rPr>
        <sz val="10"/>
        <rFont val="Times New Roman"/>
        <charset val="134"/>
      </rPr>
      <t xml:space="preserve">         </t>
    </r>
    <r>
      <rPr>
        <sz val="10"/>
        <rFont val="宋体"/>
        <charset val="134"/>
      </rPr>
      <t>可变成本</t>
    </r>
  </si>
  <si>
    <t>平均经营成本 （元/kw）</t>
  </si>
  <si>
    <t>以下采用了累进的维修费测算方式</t>
  </si>
  <si>
    <t>陆上风电光伏</t>
  </si>
  <si>
    <t>维修费用和材料费用</t>
  </si>
  <si>
    <t>陆上风场维修费率</t>
  </si>
  <si>
    <t>原值</t>
  </si>
  <si>
    <t>第一年 0.1%，每五年增加 0.1%</t>
  </si>
  <si>
    <t>海上风电</t>
  </si>
  <si>
    <t>维修费用</t>
  </si>
  <si>
    <t>海上风场维修费率</t>
  </si>
  <si>
    <t xml:space="preserve">                                风电、光伏及储能电站投资分析模型                                  （creator：zhangjing™）</t>
  </si>
  <si>
    <r>
      <rPr>
        <b/>
        <sz val="12"/>
        <color rgb="FFFF0000"/>
        <rFont val="宋体"/>
        <charset val="134"/>
      </rPr>
      <t>使用说明</t>
    </r>
    <r>
      <rPr>
        <b/>
        <sz val="8"/>
        <rFont val="Times New Roman Regular"/>
        <charset val="134"/>
      </rPr>
      <t xml:space="preserve">
</t>
    </r>
    <r>
      <rPr>
        <b/>
        <sz val="11"/>
        <rFont val="宋体"/>
        <charset val="134"/>
      </rPr>
      <t>模型中只有</t>
    </r>
    <r>
      <rPr>
        <b/>
        <sz val="11"/>
        <color rgb="FFFFC000"/>
        <rFont val="宋体"/>
        <charset val="134"/>
      </rPr>
      <t>橙色</t>
    </r>
    <r>
      <rPr>
        <b/>
        <sz val="11"/>
        <rFont val="宋体"/>
        <charset val="134"/>
      </rPr>
      <t>或者</t>
    </r>
    <r>
      <rPr>
        <b/>
        <sz val="11"/>
        <color rgb="FF00B050"/>
        <rFont val="宋体"/>
        <charset val="134"/>
      </rPr>
      <t>绿色</t>
    </r>
    <r>
      <rPr>
        <b/>
        <sz val="11"/>
        <rFont val="宋体"/>
        <charset val="134"/>
      </rPr>
      <t>单元格中是手动输入参数。</t>
    </r>
    <r>
      <rPr>
        <b/>
        <sz val="8"/>
        <rFont val="Times New Roman Regular"/>
        <charset val="134"/>
      </rPr>
      <t xml:space="preserve">
</t>
    </r>
    <r>
      <rPr>
        <b/>
        <sz val="10"/>
        <color rgb="FFFF0000"/>
        <rFont val="宋体"/>
        <charset val="134"/>
      </rPr>
      <t>注：</t>
    </r>
    <r>
      <rPr>
        <b/>
        <sz val="10"/>
        <rFont val="宋体"/>
        <charset val="134"/>
      </rPr>
      <t>在没有充分理解模型各工作表中数据的勾稽关系的情况下，</t>
    </r>
    <r>
      <rPr>
        <b/>
        <sz val="10"/>
        <color rgb="FFFF0000"/>
        <rFont val="宋体"/>
        <charset val="134"/>
      </rPr>
      <t>切勿盲目</t>
    </r>
    <r>
      <rPr>
        <b/>
        <sz val="10"/>
        <rFont val="宋体"/>
        <charset val="134"/>
      </rPr>
      <t>改动除</t>
    </r>
    <r>
      <rPr>
        <b/>
        <sz val="10"/>
        <color theme="9"/>
        <rFont val="宋体"/>
        <charset val="134"/>
      </rPr>
      <t>橙色</t>
    </r>
    <r>
      <rPr>
        <b/>
        <sz val="10"/>
        <rFont val="宋体"/>
        <charset val="134"/>
      </rPr>
      <t>和</t>
    </r>
    <r>
      <rPr>
        <b/>
        <sz val="10"/>
        <color rgb="FF00B050"/>
        <rFont val="宋体"/>
        <charset val="134"/>
      </rPr>
      <t>绿色</t>
    </r>
    <r>
      <rPr>
        <b/>
        <sz val="10"/>
        <rFont val="宋体"/>
        <charset val="134"/>
      </rPr>
      <t>之外的其他颜色单元格，否则可能造成模型损坏。</t>
    </r>
  </si>
  <si>
    <t>投资收益指标</t>
  </si>
  <si>
    <r>
      <rPr>
        <b/>
        <sz val="9"/>
        <color rgb="FFFF0000"/>
        <rFont val="宋体"/>
        <charset val="134"/>
      </rPr>
      <t>项目总投资</t>
    </r>
    <r>
      <rPr>
        <b/>
        <sz val="9"/>
        <color rgb="FFFF0000"/>
        <rFont val="Times New Roman Regular"/>
        <charset val="134"/>
      </rPr>
      <t xml:space="preserve">
(</t>
    </r>
    <r>
      <rPr>
        <b/>
        <sz val="9"/>
        <color rgb="FFFF0000"/>
        <rFont val="宋体-简"/>
        <charset val="134"/>
      </rPr>
      <t>万元</t>
    </r>
    <r>
      <rPr>
        <b/>
        <sz val="9"/>
        <color rgb="FFFF0000"/>
        <rFont val="Times New Roman Regular"/>
        <charset val="134"/>
      </rPr>
      <t>)</t>
    </r>
  </si>
  <si>
    <r>
      <rPr>
        <b/>
        <sz val="9"/>
        <rFont val="宋体"/>
        <charset val="134"/>
      </rPr>
      <t>电站造价</t>
    </r>
    <r>
      <rPr>
        <b/>
        <sz val="9"/>
        <rFont val="Times New Roman Regular"/>
        <charset val="134"/>
      </rPr>
      <t xml:space="preserve">
</t>
    </r>
    <r>
      <rPr>
        <b/>
        <sz val="9"/>
        <rFont val="宋体"/>
        <charset val="134"/>
      </rPr>
      <t>（元</t>
    </r>
    <r>
      <rPr>
        <b/>
        <sz val="9"/>
        <rFont val="Times New Roman Regular"/>
        <charset val="134"/>
      </rPr>
      <t>/W</t>
    </r>
    <r>
      <rPr>
        <b/>
        <sz val="9"/>
        <rFont val="宋体"/>
        <charset val="134"/>
      </rPr>
      <t>）</t>
    </r>
  </si>
  <si>
    <r>
      <rPr>
        <b/>
        <sz val="9"/>
        <rFont val="宋体"/>
        <charset val="134"/>
      </rPr>
      <t>电站总投资</t>
    </r>
    <r>
      <rPr>
        <b/>
        <sz val="9"/>
        <rFont val="Times New Roman Regular"/>
        <charset val="134"/>
      </rPr>
      <t xml:space="preserve">
(</t>
    </r>
    <r>
      <rPr>
        <b/>
        <sz val="9"/>
        <rFont val="宋体-简"/>
        <charset val="134"/>
      </rPr>
      <t>万元</t>
    </r>
    <r>
      <rPr>
        <b/>
        <sz val="9"/>
        <rFont val="Times New Roman Regular"/>
        <charset val="134"/>
      </rPr>
      <t>)</t>
    </r>
  </si>
  <si>
    <r>
      <rPr>
        <b/>
        <sz val="10"/>
        <rFont val="宋体"/>
        <charset val="134"/>
      </rPr>
      <t>电站</t>
    </r>
    <r>
      <rPr>
        <b/>
        <sz val="10"/>
        <rFont val="Times New Roman Regular"/>
        <charset val="134"/>
      </rPr>
      <t xml:space="preserve">EPC
</t>
    </r>
    <r>
      <rPr>
        <b/>
        <sz val="10"/>
        <rFont val="宋体"/>
        <charset val="134"/>
      </rPr>
      <t>总价</t>
    </r>
  </si>
  <si>
    <r>
      <rPr>
        <b/>
        <sz val="9"/>
        <rFont val="宋体"/>
        <charset val="134"/>
      </rPr>
      <t>资本金</t>
    </r>
    <r>
      <rPr>
        <b/>
        <sz val="9"/>
        <rFont val="Times New Roman Regular"/>
        <charset val="134"/>
      </rPr>
      <t xml:space="preserve">
IRR</t>
    </r>
  </si>
  <si>
    <r>
      <rPr>
        <b/>
        <sz val="9"/>
        <rFont val="宋体"/>
        <charset val="134"/>
      </rPr>
      <t>资本金</t>
    </r>
    <r>
      <rPr>
        <b/>
        <sz val="9"/>
        <rFont val="Times New Roman Regular"/>
        <charset val="134"/>
      </rPr>
      <t>NPV</t>
    </r>
  </si>
  <si>
    <r>
      <rPr>
        <b/>
        <sz val="9"/>
        <rFont val="宋体"/>
        <charset val="134"/>
      </rPr>
      <t>资本金投资回收期</t>
    </r>
    <r>
      <rPr>
        <b/>
        <sz val="9"/>
        <rFont val="Times New Roman Regular"/>
        <charset val="134"/>
      </rPr>
      <t>(</t>
    </r>
    <r>
      <rPr>
        <b/>
        <sz val="9"/>
        <rFont val="宋体"/>
        <charset val="134"/>
      </rPr>
      <t>年</t>
    </r>
    <r>
      <rPr>
        <b/>
        <sz val="9"/>
        <rFont val="Times New Roman Regular"/>
        <charset val="134"/>
      </rPr>
      <t>)</t>
    </r>
  </si>
  <si>
    <r>
      <rPr>
        <b/>
        <sz val="8"/>
        <rFont val="宋体"/>
        <charset val="134"/>
      </rPr>
      <t>平均年收入</t>
    </r>
  </si>
  <si>
    <r>
      <rPr>
        <b/>
        <sz val="8"/>
        <rFont val="宋体"/>
        <charset val="134"/>
      </rPr>
      <t>平均年净利润</t>
    </r>
  </si>
  <si>
    <r>
      <rPr>
        <b/>
        <sz val="9"/>
        <rFont val="宋体"/>
        <charset val="134"/>
      </rPr>
      <t>建设期利息</t>
    </r>
  </si>
  <si>
    <r>
      <rPr>
        <b/>
        <sz val="8"/>
        <rFont val="宋体"/>
        <charset val="134"/>
      </rPr>
      <t>总投资收益率</t>
    </r>
    <r>
      <rPr>
        <b/>
        <sz val="8"/>
        <rFont val="Times New Roman Regular"/>
        <charset val="134"/>
      </rPr>
      <t>(ROI)</t>
    </r>
  </si>
  <si>
    <r>
      <rPr>
        <sz val="9"/>
        <rFont val="宋体-简"/>
        <charset val="134"/>
      </rPr>
      <t>投资利税率</t>
    </r>
  </si>
  <si>
    <r>
      <rPr>
        <sz val="8"/>
        <rFont val="宋体-简"/>
        <charset val="134"/>
      </rPr>
      <t>平均净资产收益率</t>
    </r>
    <r>
      <rPr>
        <sz val="8"/>
        <rFont val="Times New Roman Regular"/>
        <charset val="134"/>
      </rPr>
      <t>ROE</t>
    </r>
  </si>
  <si>
    <r>
      <rPr>
        <b/>
        <sz val="8"/>
        <rFont val="宋体"/>
        <charset val="134"/>
      </rPr>
      <t>折现率</t>
    </r>
    <r>
      <rPr>
        <b/>
        <sz val="8"/>
        <rFont val="Times New Roman Regular"/>
        <charset val="134"/>
      </rPr>
      <t xml:space="preserve">
WACC</t>
    </r>
  </si>
  <si>
    <t>电价含税与否
(增值税和销售税)</t>
  </si>
  <si>
    <t>NO</t>
  </si>
  <si>
    <t>首年小时数
(小时)</t>
  </si>
  <si>
    <t>储能比例/配置小时数</t>
  </si>
  <si>
    <r>
      <rPr>
        <b/>
        <sz val="9"/>
        <rFont val="宋体"/>
        <charset val="134"/>
      </rPr>
      <t xml:space="preserve">储能投资单价
</t>
    </r>
    <r>
      <rPr>
        <b/>
        <sz val="9"/>
        <rFont val="Times New Roman Regular"/>
        <charset val="134"/>
      </rPr>
      <t>(</t>
    </r>
    <r>
      <rPr>
        <b/>
        <sz val="9"/>
        <rFont val="宋体"/>
        <charset val="134"/>
      </rPr>
      <t>元</t>
    </r>
    <r>
      <rPr>
        <b/>
        <sz val="9"/>
        <rFont val="Times New Roman Regular"/>
        <charset val="134"/>
      </rPr>
      <t>/wh)</t>
    </r>
  </si>
  <si>
    <r>
      <rPr>
        <b/>
        <sz val="11"/>
        <rFont val="宋体"/>
        <charset val="134"/>
      </rPr>
      <t>储能总投资</t>
    </r>
    <r>
      <rPr>
        <b/>
        <sz val="8"/>
        <rFont val="Times New Roman Regular"/>
        <charset val="134"/>
      </rPr>
      <t xml:space="preserve">
</t>
    </r>
    <r>
      <rPr>
        <b/>
        <sz val="8"/>
        <rFont val="宋体"/>
        <charset val="134"/>
      </rPr>
      <t>（万元）</t>
    </r>
  </si>
  <si>
    <r>
      <rPr>
        <b/>
        <sz val="10"/>
        <rFont val="宋体"/>
        <charset val="134"/>
      </rPr>
      <t>储能</t>
    </r>
    <r>
      <rPr>
        <b/>
        <sz val="10"/>
        <rFont val="Times New Roman Regular"/>
        <charset val="134"/>
      </rPr>
      <t xml:space="preserve">EPC
</t>
    </r>
    <r>
      <rPr>
        <b/>
        <sz val="10"/>
        <rFont val="宋体"/>
        <charset val="134"/>
      </rPr>
      <t>总价</t>
    </r>
  </si>
  <si>
    <r>
      <rPr>
        <b/>
        <sz val="9"/>
        <rFont val="宋体"/>
        <charset val="134"/>
      </rPr>
      <t>全投资</t>
    </r>
    <r>
      <rPr>
        <b/>
        <sz val="9"/>
        <rFont val="Times New Roman Regular"/>
        <charset val="134"/>
      </rPr>
      <t xml:space="preserve">
IRR</t>
    </r>
  </si>
  <si>
    <r>
      <rPr>
        <b/>
        <sz val="9"/>
        <rFont val="宋体"/>
        <charset val="134"/>
      </rPr>
      <t>全投资</t>
    </r>
    <r>
      <rPr>
        <b/>
        <sz val="9"/>
        <rFont val="Times New Roman Regular"/>
        <charset val="134"/>
      </rPr>
      <t>NPV</t>
    </r>
  </si>
  <si>
    <r>
      <rPr>
        <b/>
        <sz val="9"/>
        <rFont val="宋体"/>
        <charset val="134"/>
      </rPr>
      <t>全投资回收期</t>
    </r>
    <r>
      <rPr>
        <b/>
        <sz val="9"/>
        <rFont val="Times New Roman Regular"/>
        <charset val="134"/>
      </rPr>
      <t>(</t>
    </r>
    <r>
      <rPr>
        <b/>
        <sz val="9"/>
        <rFont val="宋体"/>
        <charset val="134"/>
      </rPr>
      <t>年</t>
    </r>
    <r>
      <rPr>
        <b/>
        <sz val="9"/>
        <rFont val="Times New Roman Regular"/>
        <charset val="134"/>
      </rPr>
      <t>)</t>
    </r>
  </si>
  <si>
    <r>
      <rPr>
        <b/>
        <sz val="10"/>
        <color rgb="FFFF0000"/>
        <rFont val="Times New Roman Regular"/>
        <charset val="134"/>
      </rPr>
      <t xml:space="preserve">LCOE=
</t>
    </r>
    <r>
      <rPr>
        <b/>
        <sz val="8"/>
        <rFont val="Times New Roman Regular"/>
        <charset val="134"/>
      </rPr>
      <t>(</t>
    </r>
    <r>
      <rPr>
        <b/>
        <sz val="8"/>
        <rFont val="宋体"/>
        <charset val="134"/>
      </rPr>
      <t>初期投资</t>
    </r>
    <r>
      <rPr>
        <b/>
        <sz val="8"/>
        <rFont val="Times New Roman Regular"/>
        <charset val="134"/>
      </rPr>
      <t>-</t>
    </r>
    <r>
      <rPr>
        <b/>
        <sz val="8"/>
        <rFont val="宋体"/>
        <charset val="134"/>
      </rPr>
      <t>因折旧导致的税费减免现值</t>
    </r>
    <r>
      <rPr>
        <b/>
        <sz val="8"/>
        <rFont val="Times New Roman Regular"/>
        <charset val="134"/>
      </rPr>
      <t>+</t>
    </r>
    <r>
      <rPr>
        <b/>
        <sz val="8"/>
        <rFont val="宋体"/>
        <charset val="134"/>
      </rPr>
      <t>因项目运营导致的成本的现值</t>
    </r>
    <r>
      <rPr>
        <b/>
        <sz val="8"/>
        <rFont val="Times New Roman Regular"/>
        <charset val="134"/>
      </rPr>
      <t>-</t>
    </r>
    <r>
      <rPr>
        <b/>
        <sz val="8"/>
        <rFont val="宋体"/>
        <charset val="134"/>
      </rPr>
      <t>固定资产残值的现值</t>
    </r>
    <r>
      <rPr>
        <b/>
        <sz val="8"/>
        <rFont val="Times New Roman Regular"/>
        <charset val="134"/>
      </rPr>
      <t>) / (</t>
    </r>
    <r>
      <rPr>
        <b/>
        <sz val="8"/>
        <rFont val="宋体"/>
        <charset val="134"/>
      </rPr>
      <t>发电量的现值）</t>
    </r>
  </si>
  <si>
    <r>
      <rPr>
        <b/>
        <sz val="10"/>
        <rFont val="宋体"/>
        <charset val="134"/>
      </rPr>
      <t>度电投资</t>
    </r>
    <r>
      <rPr>
        <b/>
        <sz val="10"/>
        <rFont val="Times New Roman Regular"/>
        <charset val="134"/>
      </rPr>
      <t>LCOE</t>
    </r>
  </si>
  <si>
    <t>项目总投资</t>
  </si>
  <si>
    <t>因折旧导致的税费减免的现值</t>
  </si>
  <si>
    <t>因项目运营导致的成本的现值</t>
  </si>
  <si>
    <t>固定资产残值的现值</t>
  </si>
  <si>
    <t>发电量现值</t>
  </si>
  <si>
    <t>核心基础假设</t>
  </si>
  <si>
    <t>基础部分</t>
  </si>
  <si>
    <t>电量和电价</t>
  </si>
  <si>
    <r>
      <rPr>
        <b/>
        <sz val="9"/>
        <color rgb="FFFF0000"/>
        <rFont val="宋体"/>
        <charset val="134"/>
      </rPr>
      <t>电站总投资</t>
    </r>
    <r>
      <rPr>
        <b/>
        <sz val="9"/>
        <color rgb="FFFF0000"/>
        <rFont val="Times New Roman Regular"/>
        <charset val="134"/>
      </rPr>
      <t xml:space="preserve">
(</t>
    </r>
    <r>
      <rPr>
        <b/>
        <sz val="9"/>
        <color rgb="FFFF0000"/>
        <rFont val="宋体-简"/>
        <charset val="134"/>
      </rPr>
      <t>万元</t>
    </r>
    <r>
      <rPr>
        <b/>
        <sz val="9"/>
        <color rgb="FFFF0000"/>
        <rFont val="Times New Roman Regular"/>
        <charset val="134"/>
      </rPr>
      <t>)</t>
    </r>
  </si>
  <si>
    <r>
      <rPr>
        <b/>
        <sz val="8"/>
        <rFont val="宋体"/>
        <charset val="134"/>
      </rPr>
      <t xml:space="preserve">陆上、储能 </t>
    </r>
    <r>
      <rPr>
        <b/>
        <sz val="8"/>
        <rFont val="Times New Roman Regular"/>
        <charset val="134"/>
      </rPr>
      <t xml:space="preserve">= 1
</t>
    </r>
    <r>
      <rPr>
        <b/>
        <sz val="8"/>
        <rFont val="宋体"/>
        <charset val="134"/>
      </rPr>
      <t xml:space="preserve">海上 </t>
    </r>
    <r>
      <rPr>
        <b/>
        <sz val="8"/>
        <rFont val="Times New Roman Regular"/>
        <charset val="134"/>
      </rPr>
      <t>= 2</t>
    </r>
  </si>
  <si>
    <r>
      <rPr>
        <b/>
        <sz val="9"/>
        <rFont val="宋体"/>
        <charset val="134"/>
      </rPr>
      <t>直流侧容量</t>
    </r>
    <r>
      <rPr>
        <b/>
        <sz val="9"/>
        <rFont val="Times New Roman Regular"/>
        <charset val="134"/>
      </rPr>
      <t xml:space="preserve">
</t>
    </r>
    <r>
      <rPr>
        <b/>
        <sz val="9"/>
        <rFont val="宋体"/>
        <charset val="134"/>
      </rPr>
      <t>（万千瓦）</t>
    </r>
  </si>
  <si>
    <r>
      <rPr>
        <b/>
        <sz val="8"/>
        <rFont val="宋体-简"/>
        <charset val="134"/>
      </rPr>
      <t>建设期</t>
    </r>
    <r>
      <rPr>
        <b/>
        <sz val="8"/>
        <rFont val="Times New Roman Regular"/>
        <charset val="134"/>
      </rPr>
      <t>(</t>
    </r>
    <r>
      <rPr>
        <b/>
        <sz val="8"/>
        <rFont val="宋体-简"/>
        <charset val="134"/>
      </rPr>
      <t>年</t>
    </r>
    <r>
      <rPr>
        <b/>
        <sz val="8"/>
        <rFont val="Times New Roman Regular"/>
        <charset val="134"/>
      </rPr>
      <t xml:space="preserve">)
</t>
    </r>
    <r>
      <rPr>
        <b/>
        <sz val="8"/>
        <rFont val="宋体-简"/>
        <charset val="134"/>
      </rPr>
      <t>陆上/光伏</t>
    </r>
    <r>
      <rPr>
        <b/>
        <sz val="8"/>
        <rFont val="Times New Roman Regular"/>
        <charset val="134"/>
      </rPr>
      <t>=1</t>
    </r>
    <r>
      <rPr>
        <b/>
        <sz val="8"/>
        <rFont val="宋体-简"/>
        <charset val="134"/>
      </rPr>
      <t>年
海上</t>
    </r>
    <r>
      <rPr>
        <b/>
        <sz val="8"/>
        <rFont val="Times New Roman Regular"/>
        <charset val="134"/>
      </rPr>
      <t>=2</t>
    </r>
    <r>
      <rPr>
        <b/>
        <sz val="8"/>
        <rFont val="宋体-简"/>
        <charset val="134"/>
      </rPr>
      <t>年</t>
    </r>
  </si>
  <si>
    <r>
      <rPr>
        <b/>
        <sz val="9"/>
        <rFont val="宋体"/>
        <charset val="134"/>
      </rPr>
      <t>运营期</t>
    </r>
    <r>
      <rPr>
        <b/>
        <sz val="9"/>
        <rFont val="Times New Roman Regular"/>
        <charset val="134"/>
      </rPr>
      <t>(</t>
    </r>
    <r>
      <rPr>
        <b/>
        <sz val="9"/>
        <rFont val="宋体-简"/>
        <charset val="134"/>
      </rPr>
      <t>年</t>
    </r>
    <r>
      <rPr>
        <b/>
        <sz val="9"/>
        <rFont val="Times New Roman Regular"/>
        <charset val="134"/>
      </rPr>
      <t>)</t>
    </r>
  </si>
  <si>
    <t>实际发电
小时数
(小时)</t>
  </si>
  <si>
    <t>政策性保障小时数规定
(小时)</t>
  </si>
  <si>
    <t>实际保障小时数
(小时)</t>
  </si>
  <si>
    <r>
      <rPr>
        <b/>
        <sz val="8"/>
        <rFont val="宋体"/>
        <charset val="134"/>
      </rPr>
      <t>电力辅助服务费</t>
    </r>
    <r>
      <rPr>
        <b/>
        <sz val="8"/>
        <rFont val="Times New Roman Regular"/>
        <charset val="134"/>
      </rPr>
      <t>(</t>
    </r>
    <r>
      <rPr>
        <b/>
        <sz val="8"/>
        <rFont val="宋体-简"/>
        <charset val="134"/>
      </rPr>
      <t>元</t>
    </r>
    <r>
      <rPr>
        <b/>
        <sz val="8"/>
        <rFont val="Times New Roman Regular"/>
        <charset val="134"/>
      </rPr>
      <t>/kwh)</t>
    </r>
  </si>
  <si>
    <t>储能等效小时数
(小时)</t>
  </si>
  <si>
    <t>市场化交易小时数
(小时)</t>
  </si>
  <si>
    <t>实际超发小时数
(小时)</t>
  </si>
  <si>
    <t>过网费
(元/kwh)</t>
  </si>
  <si>
    <r>
      <rPr>
        <b/>
        <sz val="10"/>
        <color rgb="FFFF0000"/>
        <rFont val="宋体"/>
        <charset val="134"/>
      </rPr>
      <t xml:space="preserve">电站
</t>
    </r>
    <r>
      <rPr>
        <b/>
        <sz val="9"/>
        <color rgb="FFFF0000"/>
        <rFont val="宋体"/>
        <charset val="134"/>
      </rPr>
      <t>业主管理费</t>
    </r>
    <r>
      <rPr>
        <b/>
        <sz val="10"/>
        <color rgb="FFFF0000"/>
        <rFont val="宋体"/>
        <charset val="134"/>
      </rPr>
      <t xml:space="preserve">
</t>
    </r>
    <r>
      <rPr>
        <b/>
        <sz val="9"/>
        <color rgb="FFFF0000"/>
        <rFont val="宋体"/>
        <charset val="134"/>
      </rPr>
      <t>(EPC价*1.8%)</t>
    </r>
  </si>
  <si>
    <r>
      <rPr>
        <b/>
        <sz val="10"/>
        <color rgb="FFFF0000"/>
        <rFont val="宋体"/>
        <charset val="134"/>
      </rPr>
      <t>电站</t>
    </r>
    <r>
      <rPr>
        <b/>
        <sz val="10"/>
        <color rgb="FFFF0000"/>
        <rFont val="Times New Roman Regular"/>
        <charset val="134"/>
      </rPr>
      <t xml:space="preserve">EPC
</t>
    </r>
    <r>
      <rPr>
        <b/>
        <sz val="10"/>
        <color rgb="FFFF0000"/>
        <rFont val="宋体"/>
        <charset val="134"/>
      </rPr>
      <t>总价</t>
    </r>
  </si>
  <si>
    <r>
      <rPr>
        <b/>
        <sz val="10"/>
        <color rgb="FFFF0000"/>
        <rFont val="宋体"/>
        <charset val="134"/>
      </rPr>
      <t xml:space="preserve">储能
</t>
    </r>
    <r>
      <rPr>
        <b/>
        <sz val="9"/>
        <color rgb="FFFF0000"/>
        <rFont val="宋体"/>
        <charset val="134"/>
      </rPr>
      <t>业主管理费</t>
    </r>
    <r>
      <rPr>
        <b/>
        <sz val="10"/>
        <color rgb="FFFF0000"/>
        <rFont val="宋体"/>
        <charset val="134"/>
      </rPr>
      <t xml:space="preserve">
</t>
    </r>
    <r>
      <rPr>
        <b/>
        <sz val="9"/>
        <color rgb="FFFF0000"/>
        <rFont val="宋体"/>
        <charset val="134"/>
      </rPr>
      <t>(EPC价*2.9%)</t>
    </r>
  </si>
  <si>
    <r>
      <rPr>
        <b/>
        <sz val="10"/>
        <color rgb="FFFF0000"/>
        <rFont val="宋体"/>
        <charset val="134"/>
      </rPr>
      <t>储能</t>
    </r>
    <r>
      <rPr>
        <b/>
        <sz val="10"/>
        <color rgb="FFFF0000"/>
        <rFont val="Times New Roman Regular"/>
        <charset val="134"/>
      </rPr>
      <t xml:space="preserve">EPC
</t>
    </r>
    <r>
      <rPr>
        <b/>
        <sz val="10"/>
        <color rgb="FFFF0000"/>
        <rFont val="宋体"/>
        <charset val="134"/>
      </rPr>
      <t>总价</t>
    </r>
  </si>
  <si>
    <r>
      <rPr>
        <b/>
        <sz val="8"/>
        <rFont val="宋体"/>
        <charset val="134"/>
      </rPr>
      <t>补贴开始从第</t>
    </r>
    <r>
      <rPr>
        <b/>
        <sz val="8"/>
        <rFont val="Times New Roman Regular"/>
        <charset val="134"/>
      </rPr>
      <t>N</t>
    </r>
    <r>
      <rPr>
        <b/>
        <sz val="8"/>
        <rFont val="宋体"/>
        <charset val="134"/>
      </rPr>
      <t>年</t>
    </r>
  </si>
  <si>
    <t>补贴持续</t>
  </si>
  <si>
    <t>综合电价
(元/kwh)</t>
  </si>
  <si>
    <r>
      <rPr>
        <b/>
        <sz val="8"/>
        <rFont val="宋体"/>
        <charset val="134"/>
      </rPr>
      <t>核准电价</t>
    </r>
    <r>
      <rPr>
        <b/>
        <sz val="8"/>
        <rFont val="Times New Roman Regular"/>
        <charset val="134"/>
      </rPr>
      <t xml:space="preserve">
(</t>
    </r>
    <r>
      <rPr>
        <b/>
        <sz val="8"/>
        <rFont val="宋体-简"/>
        <charset val="134"/>
      </rPr>
      <t>元</t>
    </r>
    <r>
      <rPr>
        <b/>
        <sz val="8"/>
        <rFont val="Times New Roman Regular"/>
        <charset val="134"/>
      </rPr>
      <t>/kwh)</t>
    </r>
  </si>
  <si>
    <t>标杆电价
(元/kwh)</t>
  </si>
  <si>
    <t>补贴电价
(元/kwh)</t>
  </si>
  <si>
    <r>
      <rPr>
        <b/>
        <sz val="8"/>
        <rFont val="宋体"/>
        <charset val="134"/>
      </rPr>
      <t>保障电价</t>
    </r>
    <r>
      <rPr>
        <b/>
        <sz val="8"/>
        <rFont val="Times New Roman Regular"/>
        <charset val="134"/>
      </rPr>
      <t xml:space="preserve">
(</t>
    </r>
    <r>
      <rPr>
        <b/>
        <sz val="8"/>
        <rFont val="宋体-简"/>
        <charset val="134"/>
      </rPr>
      <t>元</t>
    </r>
    <r>
      <rPr>
        <b/>
        <sz val="8"/>
        <rFont val="Times New Roman Regular"/>
        <charset val="134"/>
      </rPr>
      <t>/kwh)</t>
    </r>
  </si>
  <si>
    <t>保障电价
下浮比例要求</t>
  </si>
  <si>
    <r>
      <rPr>
        <b/>
        <sz val="8"/>
        <rFont val="宋体-简"/>
        <charset val="134"/>
      </rPr>
      <t>储能电价</t>
    </r>
    <r>
      <rPr>
        <b/>
        <sz val="8"/>
        <rFont val="Times New Roman Regular"/>
        <charset val="134"/>
      </rPr>
      <t xml:space="preserve">
(</t>
    </r>
    <r>
      <rPr>
        <b/>
        <sz val="8"/>
        <rFont val="宋体-简"/>
        <charset val="134"/>
      </rPr>
      <t>元</t>
    </r>
    <r>
      <rPr>
        <b/>
        <sz val="8"/>
        <rFont val="Times New Roman Regular"/>
        <charset val="134"/>
      </rPr>
      <t xml:space="preserve">/kwh)
</t>
    </r>
    <r>
      <rPr>
        <b/>
        <sz val="8"/>
        <rFont val="宋体-简"/>
        <charset val="134"/>
      </rPr>
      <t>按市场化价格</t>
    </r>
  </si>
  <si>
    <t>市场化交易电价
(元/kwh)</t>
  </si>
  <si>
    <t>超发电价
(元/kwh)</t>
  </si>
  <si>
    <t>线损率</t>
  </si>
  <si>
    <t>储能投资参数</t>
  </si>
  <si>
    <r>
      <rPr>
        <b/>
        <sz val="11"/>
        <color rgb="FFFF0000"/>
        <rFont val="宋体"/>
        <charset val="134"/>
      </rPr>
      <t>储能</t>
    </r>
    <r>
      <rPr>
        <b/>
        <sz val="8"/>
        <rFont val="Times New Roman Regular"/>
        <charset val="134"/>
      </rPr>
      <t xml:space="preserve">
</t>
    </r>
    <r>
      <rPr>
        <b/>
        <sz val="8"/>
        <rFont val="宋体"/>
        <charset val="134"/>
      </rPr>
      <t>全寿命期投资</t>
    </r>
    <r>
      <rPr>
        <b/>
        <sz val="8"/>
        <rFont val="Times New Roman Regular"/>
        <charset val="134"/>
      </rPr>
      <t xml:space="preserve">
</t>
    </r>
    <r>
      <rPr>
        <b/>
        <sz val="8"/>
        <rFont val="宋体"/>
        <charset val="134"/>
      </rPr>
      <t>（万元）</t>
    </r>
  </si>
  <si>
    <r>
      <rPr>
        <b/>
        <sz val="9"/>
        <rFont val="宋体"/>
        <charset val="134"/>
      </rPr>
      <t>储能初始投资</t>
    </r>
    <r>
      <rPr>
        <b/>
        <sz val="9"/>
        <rFont val="Times New Roman Regular"/>
        <charset val="134"/>
      </rPr>
      <t>(</t>
    </r>
    <r>
      <rPr>
        <b/>
        <sz val="9"/>
        <rFont val="宋体"/>
        <charset val="134"/>
      </rPr>
      <t>元</t>
    </r>
    <r>
      <rPr>
        <b/>
        <sz val="9"/>
        <rFont val="Times New Roman Regular"/>
        <charset val="134"/>
      </rPr>
      <t>/wh)</t>
    </r>
  </si>
  <si>
    <r>
      <rPr>
        <b/>
        <sz val="9"/>
        <rFont val="宋体"/>
        <charset val="134"/>
      </rPr>
      <t>储能配置小时数</t>
    </r>
  </si>
  <si>
    <r>
      <rPr>
        <b/>
        <sz val="9"/>
        <rFont val="宋体"/>
        <charset val="134"/>
      </rPr>
      <t>储能比例</t>
    </r>
  </si>
  <si>
    <r>
      <rPr>
        <b/>
        <sz val="9"/>
        <rFont val="宋体"/>
        <charset val="134"/>
      </rPr>
      <t>储能天</t>
    </r>
    <r>
      <rPr>
        <b/>
        <sz val="9"/>
        <rFont val="Times New Roman Regular"/>
        <charset val="134"/>
      </rPr>
      <t>/</t>
    </r>
    <r>
      <rPr>
        <b/>
        <sz val="9"/>
        <rFont val="宋体"/>
        <charset val="134"/>
      </rPr>
      <t>年</t>
    </r>
  </si>
  <si>
    <r>
      <rPr>
        <b/>
        <sz val="9"/>
        <rFont val="宋体"/>
        <charset val="134"/>
      </rPr>
      <t>电池技术</t>
    </r>
  </si>
  <si>
    <t>储能设备可利用小时数</t>
  </si>
  <si>
    <r>
      <rPr>
        <b/>
        <sz val="9"/>
        <rFont val="宋体"/>
        <charset val="134"/>
      </rPr>
      <t>储能年利用小时数</t>
    </r>
  </si>
  <si>
    <r>
      <rPr>
        <b/>
        <sz val="9"/>
        <rFont val="宋体"/>
        <charset val="134"/>
      </rPr>
      <t>电芯更换次数</t>
    </r>
  </si>
  <si>
    <r>
      <rPr>
        <b/>
        <sz val="9"/>
        <rFont val="宋体"/>
        <charset val="134"/>
      </rPr>
      <t>更换成本</t>
    </r>
    <r>
      <rPr>
        <b/>
        <sz val="9"/>
        <rFont val="Times New Roman Regular"/>
        <charset val="134"/>
      </rPr>
      <t xml:space="preserve">
(</t>
    </r>
    <r>
      <rPr>
        <b/>
        <sz val="9"/>
        <rFont val="宋体"/>
        <charset val="134"/>
      </rPr>
      <t>元</t>
    </r>
    <r>
      <rPr>
        <b/>
        <sz val="9"/>
        <rFont val="Times New Roman Regular"/>
        <charset val="134"/>
      </rPr>
      <t>/wh)</t>
    </r>
  </si>
  <si>
    <r>
      <rPr>
        <b/>
        <sz val="9"/>
        <rFont val="宋体"/>
        <charset val="134"/>
      </rPr>
      <t>单次更换成本金额</t>
    </r>
    <r>
      <rPr>
        <b/>
        <sz val="9"/>
        <rFont val="Times New Roman Regular"/>
        <charset val="134"/>
      </rPr>
      <t>(</t>
    </r>
    <r>
      <rPr>
        <b/>
        <sz val="9"/>
        <rFont val="宋体"/>
        <charset val="134"/>
      </rPr>
      <t>万元</t>
    </r>
    <r>
      <rPr>
        <b/>
        <sz val="9"/>
        <rFont val="Times New Roman Regular"/>
        <charset val="134"/>
      </rPr>
      <t>)</t>
    </r>
  </si>
  <si>
    <r>
      <rPr>
        <b/>
        <sz val="9"/>
        <rFont val="宋体"/>
        <charset val="134"/>
      </rPr>
      <t>更换成本折现投资金额</t>
    </r>
  </si>
  <si>
    <r>
      <rPr>
        <b/>
        <sz val="9"/>
        <rFont val="宋体"/>
        <charset val="134"/>
      </rPr>
      <t>储能电价</t>
    </r>
  </si>
  <si>
    <t>儲能效率</t>
  </si>
  <si>
    <t>容量租赁比例</t>
  </si>
  <si>
    <r>
      <rPr>
        <b/>
        <sz val="8"/>
        <rFont val="宋体-简"/>
        <charset val="134"/>
      </rPr>
      <t>容量租赁价格</t>
    </r>
    <r>
      <rPr>
        <b/>
        <sz val="8"/>
        <rFont val="Times New Roman Regular"/>
        <charset val="134"/>
      </rPr>
      <t xml:space="preserve">
(</t>
    </r>
    <r>
      <rPr>
        <b/>
        <sz val="8"/>
        <rFont val="宋体-简"/>
        <charset val="134"/>
      </rPr>
      <t>元/wh</t>
    </r>
    <r>
      <rPr>
        <b/>
        <sz val="8"/>
        <rFont val="Times New Roman Regular"/>
        <charset val="134"/>
      </rPr>
      <t>)</t>
    </r>
  </si>
  <si>
    <r>
      <rPr>
        <sz val="10"/>
        <rFont val="宋体"/>
        <charset val="134"/>
      </rPr>
      <t>磷酸铁锂</t>
    </r>
  </si>
  <si>
    <t>風電/光伏
运维人员参数</t>
  </si>
  <si>
    <t>土地补偿款及租金 + 汇率</t>
  </si>
  <si>
    <t>土地税基单价和土地税率</t>
  </si>
  <si>
    <t>光伏板衰减</t>
  </si>
  <si>
    <r>
      <rPr>
        <b/>
        <sz val="12"/>
        <rFont val="宋体"/>
        <charset val="134"/>
      </rPr>
      <t>首年小时数</t>
    </r>
    <r>
      <rPr>
        <sz val="12"/>
        <rFont val="Times New Roman Regular"/>
        <charset val="134"/>
      </rPr>
      <t xml:space="preserve">
</t>
    </r>
    <r>
      <rPr>
        <sz val="12"/>
        <rFont val="宋体"/>
        <charset val="134"/>
      </rPr>
      <t>年平均小时数</t>
    </r>
  </si>
  <si>
    <r>
      <rPr>
        <b/>
        <sz val="8"/>
        <rFont val="宋体-简"/>
        <charset val="134"/>
      </rPr>
      <t>每</t>
    </r>
    <r>
      <rPr>
        <b/>
        <sz val="8"/>
        <rFont val="Times New Roman Regular"/>
        <charset val="134"/>
      </rPr>
      <t>50MW</t>
    </r>
    <r>
      <rPr>
        <b/>
        <sz val="8"/>
        <rFont val="宋体-简"/>
        <charset val="134"/>
      </rPr>
      <t>运营自维维护人数</t>
    </r>
  </si>
  <si>
    <r>
      <rPr>
        <b/>
        <sz val="8"/>
        <rFont val="宋体-简"/>
        <charset val="134"/>
      </rPr>
      <t>每</t>
    </r>
    <r>
      <rPr>
        <b/>
        <sz val="8"/>
        <rFont val="Times New Roman Regular"/>
        <charset val="134"/>
      </rPr>
      <t>50MW</t>
    </r>
    <r>
      <rPr>
        <b/>
        <sz val="8"/>
        <rFont val="宋体-简"/>
        <charset val="134"/>
      </rPr>
      <t>运营外维维护人数</t>
    </r>
  </si>
  <si>
    <t>员工人数</t>
  </si>
  <si>
    <r>
      <rPr>
        <b/>
        <sz val="8"/>
        <rFont val="宋体"/>
        <charset val="134"/>
      </rPr>
      <t>人均工资</t>
    </r>
    <r>
      <rPr>
        <b/>
        <sz val="8"/>
        <rFont val="Times New Roman Regular"/>
        <charset val="134"/>
      </rPr>
      <t xml:space="preserve">
</t>
    </r>
    <r>
      <rPr>
        <b/>
        <sz val="8"/>
        <rFont val="宋体"/>
        <charset val="134"/>
      </rPr>
      <t>（万元）</t>
    </r>
  </si>
  <si>
    <t>福利占比</t>
  </si>
  <si>
    <t>项目占地
（公顷）</t>
  </si>
  <si>
    <t>年租金标准
（美元/公顷）</t>
  </si>
  <si>
    <t>汇率
US$ / ￥</t>
  </si>
  <si>
    <t>土地补偿标准
（US$  /公顷）</t>
  </si>
  <si>
    <t>单位土地税基
(￥/sq.m)</t>
  </si>
  <si>
    <t>土地税率</t>
  </si>
  <si>
    <t>第一年末</t>
  </si>
  <si>
    <t>后续年衰减</t>
  </si>
  <si>
    <t>首年小时数</t>
  </si>
  <si>
    <t>平均小时数</t>
  </si>
  <si>
    <t>运维模式及维修费计算模式</t>
  </si>
  <si>
    <t>風電光伏外委模式费用参数</t>
  </si>
  <si>
    <t>風電光伏自维模式费用参数</t>
  </si>
  <si>
    <t>1 自维
2 外委</t>
  </si>
  <si>
    <t>质保期(年)</t>
  </si>
  <si>
    <t>1 定额 
 2 比例
3 仅儲能</t>
  </si>
  <si>
    <t>外委年费用
(元/kw)</t>
  </si>
  <si>
    <r>
      <rPr>
        <b/>
        <sz val="8"/>
        <rFont val="宋体"/>
        <charset val="134"/>
      </rPr>
      <t>质保期内
材料费</t>
    </r>
    <r>
      <rPr>
        <b/>
        <sz val="8"/>
        <rFont val="Times New Roman Regular"/>
        <charset val="134"/>
      </rPr>
      <t xml:space="preserve">
(</t>
    </r>
    <r>
      <rPr>
        <b/>
        <sz val="8"/>
        <rFont val="宋体"/>
        <charset val="134"/>
      </rPr>
      <t>元</t>
    </r>
    <r>
      <rPr>
        <b/>
        <sz val="8"/>
        <rFont val="Times New Roman Regular"/>
        <charset val="134"/>
      </rPr>
      <t>/kw)</t>
    </r>
  </si>
  <si>
    <r>
      <rPr>
        <b/>
        <sz val="8"/>
        <rFont val="宋体"/>
        <charset val="134"/>
      </rPr>
      <t>质保期外
材料费</t>
    </r>
    <r>
      <rPr>
        <b/>
        <sz val="8"/>
        <rFont val="Times New Roman Regular"/>
        <charset val="134"/>
      </rPr>
      <t xml:space="preserve">
(</t>
    </r>
    <r>
      <rPr>
        <b/>
        <sz val="8"/>
        <rFont val="宋体"/>
        <charset val="134"/>
      </rPr>
      <t>元</t>
    </r>
    <r>
      <rPr>
        <b/>
        <sz val="8"/>
        <rFont val="Times New Roman Regular"/>
        <charset val="134"/>
      </rPr>
      <t>/kw)</t>
    </r>
  </si>
  <si>
    <t>质保期内
维修费
(元/kw)</t>
  </si>
  <si>
    <t>质保期外
维修费
(元/kw)</t>
  </si>
  <si>
    <r>
      <rPr>
        <b/>
        <sz val="8"/>
        <rFont val="宋体"/>
        <charset val="134"/>
      </rPr>
      <t>其他费
质保期内</t>
    </r>
    <r>
      <rPr>
        <b/>
        <sz val="8"/>
        <rFont val="Times New Roman Regular"/>
        <charset val="134"/>
      </rPr>
      <t xml:space="preserve">
(</t>
    </r>
    <r>
      <rPr>
        <b/>
        <sz val="8"/>
        <rFont val="宋体"/>
        <charset val="134"/>
      </rPr>
      <t>元</t>
    </r>
    <r>
      <rPr>
        <b/>
        <sz val="8"/>
        <rFont val="Times New Roman Regular"/>
        <charset val="134"/>
      </rPr>
      <t>/KW)</t>
    </r>
  </si>
  <si>
    <r>
      <rPr>
        <b/>
        <sz val="8"/>
        <rFont val="宋体"/>
        <charset val="134"/>
      </rPr>
      <t>其他费
质保期外</t>
    </r>
    <r>
      <rPr>
        <b/>
        <sz val="8"/>
        <rFont val="Times New Roman Regular"/>
        <charset val="134"/>
      </rPr>
      <t xml:space="preserve">
(</t>
    </r>
    <r>
      <rPr>
        <b/>
        <sz val="8"/>
        <rFont val="宋体"/>
        <charset val="134"/>
      </rPr>
      <t>元</t>
    </r>
    <r>
      <rPr>
        <b/>
        <sz val="8"/>
        <rFont val="Times New Roman Regular"/>
        <charset val="134"/>
      </rPr>
      <t>/KW)</t>
    </r>
  </si>
  <si>
    <t>儲能運維人員</t>
  </si>
  <si>
    <t>儲能外委模式费用参数</t>
  </si>
  <si>
    <t>儲能自维模式费用参数</t>
  </si>
  <si>
    <t>每100MWh运营自维维护人数</t>
  </si>
  <si>
    <r>
      <rPr>
        <sz val="8"/>
        <rFont val="宋体-简"/>
        <charset val="134"/>
      </rPr>
      <t>每100</t>
    </r>
    <r>
      <rPr>
        <sz val="8"/>
        <rFont val="Times New Roman Regular"/>
        <charset val="134"/>
      </rPr>
      <t>MW</t>
    </r>
    <r>
      <rPr>
        <sz val="8"/>
        <rFont val="宋体-简"/>
        <charset val="134"/>
      </rPr>
      <t>运营外维维护人数</t>
    </r>
  </si>
  <si>
    <r>
      <rPr>
        <b/>
        <sz val="8"/>
        <rFont val="宋体"/>
        <charset val="134"/>
      </rPr>
      <t>员工人数</t>
    </r>
  </si>
  <si>
    <r>
      <rPr>
        <b/>
        <sz val="8"/>
        <rFont val="宋体"/>
        <charset val="134"/>
      </rPr>
      <t>其他费
质保期内/外</t>
    </r>
    <r>
      <rPr>
        <b/>
        <sz val="8"/>
        <rFont val="Times New Roman Regular"/>
        <charset val="134"/>
      </rPr>
      <t xml:space="preserve">
(</t>
    </r>
    <r>
      <rPr>
        <b/>
        <sz val="8"/>
        <rFont val="宋体"/>
        <charset val="134"/>
      </rPr>
      <t>元</t>
    </r>
    <r>
      <rPr>
        <b/>
        <sz val="8"/>
        <rFont val="Times New Roman Regular"/>
        <charset val="134"/>
      </rPr>
      <t>/KW)</t>
    </r>
  </si>
  <si>
    <t>各项税率</t>
  </si>
  <si>
    <t>融资参数</t>
  </si>
  <si>
    <t>所得税率</t>
  </si>
  <si>
    <t>所得税有/无三免三减半政策</t>
  </si>
  <si>
    <t>所得税优惠年限</t>
  </si>
  <si>
    <r>
      <rPr>
        <b/>
        <sz val="8"/>
        <rFont val="宋体"/>
        <charset val="134"/>
      </rPr>
      <t>城市维护建设费率</t>
    </r>
  </si>
  <si>
    <r>
      <rPr>
        <b/>
        <sz val="8"/>
        <rFont val="宋体"/>
        <charset val="134"/>
      </rPr>
      <t>教育附加费率</t>
    </r>
  </si>
  <si>
    <r>
      <rPr>
        <b/>
        <sz val="8"/>
        <rFont val="宋体"/>
        <charset val="134"/>
      </rPr>
      <t>增值税率</t>
    </r>
  </si>
  <si>
    <t>增值税豁免年限</t>
  </si>
  <si>
    <r>
      <rPr>
        <b/>
        <sz val="8"/>
        <rFont val="宋体"/>
        <charset val="134"/>
      </rPr>
      <t>增值税抵扣返还</t>
    </r>
    <r>
      <rPr>
        <b/>
        <sz val="10"/>
        <color rgb="FFFF0000"/>
        <rFont val="宋体"/>
        <charset val="134"/>
      </rPr>
      <t>50%</t>
    </r>
  </si>
  <si>
    <t>销售税率</t>
  </si>
  <si>
    <t>销售税优惠年限</t>
  </si>
  <si>
    <t>保险费方式
1.固定定额
2.自定比率</t>
  </si>
  <si>
    <r>
      <rPr>
        <b/>
        <sz val="8"/>
        <rFont val="宋体"/>
        <charset val="134"/>
      </rPr>
      <t>流动资金</t>
    </r>
    <r>
      <rPr>
        <b/>
        <sz val="8"/>
        <rFont val="Times New Roman Regular"/>
        <charset val="134"/>
      </rPr>
      <t xml:space="preserve">
</t>
    </r>
    <r>
      <rPr>
        <b/>
        <sz val="8"/>
        <rFont val="宋体"/>
        <charset val="134"/>
      </rPr>
      <t>贷款利率</t>
    </r>
  </si>
  <si>
    <r>
      <rPr>
        <b/>
        <sz val="8"/>
        <rFont val="宋体"/>
        <charset val="134"/>
      </rPr>
      <t>贷款期限</t>
    </r>
  </si>
  <si>
    <r>
      <rPr>
        <b/>
        <sz val="8"/>
        <rFont val="宋体"/>
        <charset val="134"/>
      </rPr>
      <t>项目</t>
    </r>
    <r>
      <rPr>
        <b/>
        <sz val="8"/>
        <rFont val="Times New Roman Regular"/>
        <charset val="134"/>
      </rPr>
      <t xml:space="preserve">
</t>
    </r>
    <r>
      <rPr>
        <b/>
        <sz val="8"/>
        <rFont val="宋体"/>
        <charset val="134"/>
      </rPr>
      <t>贷款利率</t>
    </r>
  </si>
  <si>
    <r>
      <rPr>
        <b/>
        <sz val="8"/>
        <rFont val="宋体"/>
        <charset val="134"/>
      </rPr>
      <t>资本金比例</t>
    </r>
  </si>
  <si>
    <t>还款方式
1 等额本息
2 等额本金</t>
  </si>
  <si>
    <t>固定资产及设备</t>
  </si>
  <si>
    <t>折旧参数</t>
  </si>
  <si>
    <t>财产税</t>
  </si>
  <si>
    <t>其他税率</t>
  </si>
  <si>
    <t>海上风电专有参数</t>
  </si>
  <si>
    <t>敏感性波动</t>
  </si>
  <si>
    <r>
      <rPr>
        <b/>
        <sz val="8"/>
        <rFont val="宋体"/>
        <charset val="134"/>
      </rPr>
      <t>流动资金(￥/kw)
光伏/陆上=20
海上=</t>
    </r>
    <r>
      <rPr>
        <b/>
        <sz val="8"/>
        <color rgb="FFFF0000"/>
        <rFont val="宋体"/>
        <charset val="134"/>
      </rPr>
      <t>25</t>
    </r>
  </si>
  <si>
    <t>固定资产</t>
  </si>
  <si>
    <t>每千瓦投资</t>
  </si>
  <si>
    <t>每千瓦设备采购价</t>
  </si>
  <si>
    <t>设备占比</t>
  </si>
  <si>
    <r>
      <rPr>
        <b/>
        <sz val="8"/>
        <rFont val="宋体"/>
        <charset val="134"/>
      </rPr>
      <t>折旧年限</t>
    </r>
    <r>
      <rPr>
        <b/>
        <sz val="8"/>
        <rFont val="Times New Roman Regular"/>
        <charset val="134"/>
      </rPr>
      <t>(</t>
    </r>
    <r>
      <rPr>
        <b/>
        <sz val="8"/>
        <rFont val="宋体"/>
        <charset val="134"/>
      </rPr>
      <t>年</t>
    </r>
    <r>
      <rPr>
        <b/>
        <sz val="8"/>
        <rFont val="Times New Roman Regular"/>
        <charset val="134"/>
      </rPr>
      <t>)</t>
    </r>
  </si>
  <si>
    <t>折旧残值</t>
  </si>
  <si>
    <t>税基</t>
  </si>
  <si>
    <t>税率</t>
  </si>
  <si>
    <r>
      <rPr>
        <b/>
        <sz val="8"/>
        <rFont val="宋体"/>
        <charset val="134"/>
      </rPr>
      <t>通货膨胀率</t>
    </r>
    <r>
      <rPr>
        <b/>
        <sz val="8"/>
        <rFont val="Times New Roman Regular"/>
        <charset val="134"/>
      </rPr>
      <t xml:space="preserve">
CPI</t>
    </r>
  </si>
  <si>
    <r>
      <rPr>
        <b/>
        <sz val="8"/>
        <rFont val="宋体"/>
        <charset val="134"/>
      </rPr>
      <t>保险费率</t>
    </r>
  </si>
  <si>
    <t>法定盈余公积金比例</t>
  </si>
  <si>
    <r>
      <rPr>
        <b/>
        <sz val="8"/>
        <rFont val="宋体"/>
        <charset val="134"/>
      </rPr>
      <t>海域使用费</t>
    </r>
    <r>
      <rPr>
        <b/>
        <sz val="8"/>
        <rFont val="Times New Roman Regular"/>
        <charset val="134"/>
      </rPr>
      <t xml:space="preserve">
(</t>
    </r>
    <r>
      <rPr>
        <b/>
        <sz val="8"/>
        <rFont val="宋体"/>
        <charset val="134"/>
      </rPr>
      <t>万元</t>
    </r>
    <r>
      <rPr>
        <b/>
        <sz val="8"/>
        <rFont val="Times New Roman Regular"/>
        <charset val="134"/>
      </rPr>
      <t>/</t>
    </r>
    <r>
      <rPr>
        <b/>
        <sz val="8"/>
        <rFont val="宋体"/>
        <charset val="134"/>
      </rPr>
      <t>年</t>
    </r>
    <r>
      <rPr>
        <b/>
        <sz val="8"/>
        <rFont val="Times New Roman Regular"/>
        <charset val="134"/>
      </rPr>
      <t>)</t>
    </r>
  </si>
  <si>
    <t>到期拆除费占固定资产比例</t>
  </si>
  <si>
    <t>总投资波动</t>
  </si>
  <si>
    <t>电价波动</t>
  </si>
  <si>
    <t>小时数波动</t>
  </si>
  <si>
    <t>租赁协议</t>
  </si>
  <si>
    <r>
      <rPr>
        <b/>
        <sz val="8"/>
        <rFont val="宋体"/>
        <charset val="134"/>
      </rPr>
      <t>风电价格政策</t>
    </r>
  </si>
  <si>
    <r>
      <rPr>
        <b/>
        <sz val="8"/>
        <rFont val="宋体"/>
        <charset val="134"/>
      </rPr>
      <t>省级电网</t>
    </r>
  </si>
  <si>
    <r>
      <rPr>
        <b/>
        <sz val="8"/>
        <rFont val="宋体"/>
        <charset val="134"/>
      </rPr>
      <t>燃煤发电标杆上网电价</t>
    </r>
  </si>
  <si>
    <r>
      <rPr>
        <b/>
        <sz val="8"/>
        <rFont val="宋体"/>
        <charset val="134"/>
      </rPr>
      <t>风区</t>
    </r>
  </si>
  <si>
    <r>
      <rPr>
        <b/>
        <sz val="8"/>
        <rFont val="宋体"/>
        <charset val="134"/>
      </rPr>
      <t>覆盖范围</t>
    </r>
  </si>
  <si>
    <r>
      <rPr>
        <b/>
        <sz val="8"/>
        <rFont val="宋体"/>
        <charset val="134"/>
      </rPr>
      <t>电价</t>
    </r>
  </si>
  <si>
    <r>
      <rPr>
        <b/>
        <sz val="8"/>
        <rFont val="宋体"/>
        <charset val="134"/>
      </rPr>
      <t>蒙西</t>
    </r>
  </si>
  <si>
    <r>
      <rPr>
        <b/>
        <sz val="8"/>
        <rFont val="宋体"/>
        <charset val="134"/>
      </rPr>
      <t>新疆</t>
    </r>
  </si>
  <si>
    <r>
      <rPr>
        <b/>
        <sz val="8"/>
        <rFont val="宋体"/>
        <charset val="134"/>
      </rPr>
      <t>第</t>
    </r>
    <r>
      <rPr>
        <b/>
        <sz val="8"/>
        <rFont val="Times New Roman Regular"/>
        <charset val="134"/>
      </rPr>
      <t>I</t>
    </r>
    <r>
      <rPr>
        <b/>
        <sz val="8"/>
        <rFont val="宋体"/>
        <charset val="134"/>
      </rPr>
      <t>类风能资源区</t>
    </r>
  </si>
  <si>
    <r>
      <rPr>
        <b/>
        <sz val="8"/>
        <rFont val="宋体"/>
        <charset val="134"/>
      </rPr>
      <t>内蒙古自治区除赤峰市、通辽市、兴安盟、呼伦贝尔市以外的其他地区</t>
    </r>
    <r>
      <rPr>
        <b/>
        <sz val="8"/>
        <rFont val="Times New Roman Regular"/>
        <charset val="134"/>
      </rPr>
      <t xml:space="preserve">;
</t>
    </r>
    <r>
      <rPr>
        <b/>
        <sz val="8"/>
        <rFont val="宋体"/>
        <charset val="134"/>
      </rPr>
      <t>新疆维吾尔自治区乌鲁木齐市、伊犁哈萨克族自治州、克拉玛依市、石河子市</t>
    </r>
    <r>
      <rPr>
        <b/>
        <sz val="8"/>
        <rFont val="Times New Roman Regular"/>
        <charset val="134"/>
      </rPr>
      <t>;</t>
    </r>
  </si>
  <si>
    <r>
      <rPr>
        <b/>
        <sz val="8"/>
        <rFont val="宋体"/>
        <charset val="134"/>
      </rPr>
      <t>蒙东</t>
    </r>
  </si>
  <si>
    <r>
      <rPr>
        <b/>
        <sz val="8"/>
        <rFont val="宋体"/>
        <charset val="134"/>
      </rPr>
      <t>第</t>
    </r>
    <r>
      <rPr>
        <b/>
        <sz val="8"/>
        <rFont val="Times New Roman Regular"/>
        <charset val="134"/>
      </rPr>
      <t>II</t>
    </r>
    <r>
      <rPr>
        <b/>
        <sz val="8"/>
        <rFont val="宋体"/>
        <charset val="134"/>
      </rPr>
      <t>类风能资源区</t>
    </r>
  </si>
  <si>
    <r>
      <rPr>
        <b/>
        <sz val="8"/>
        <rFont val="宋体"/>
        <charset val="134"/>
      </rPr>
      <t>河北省张家口市、承德市</t>
    </r>
    <r>
      <rPr>
        <b/>
        <sz val="8"/>
        <rFont val="Times New Roman Regular"/>
        <charset val="134"/>
      </rPr>
      <t xml:space="preserve">;
</t>
    </r>
    <r>
      <rPr>
        <b/>
        <sz val="8"/>
        <rFont val="宋体"/>
        <charset val="134"/>
      </rPr>
      <t>内蒙古自治区赤峰市、通辽市、兴安盟、呼伦贝尔市</t>
    </r>
    <r>
      <rPr>
        <b/>
        <sz val="8"/>
        <rFont val="Times New Roman Regular"/>
        <charset val="134"/>
      </rPr>
      <t xml:space="preserve">;
</t>
    </r>
    <r>
      <rPr>
        <b/>
        <sz val="8"/>
        <rFont val="宋体"/>
        <charset val="134"/>
      </rPr>
      <t>甘肃嘉峪关市、酒泉市</t>
    </r>
    <r>
      <rPr>
        <b/>
        <sz val="8"/>
        <rFont val="Times New Roman Regular"/>
        <charset val="134"/>
      </rPr>
      <t xml:space="preserve">;
</t>
    </r>
    <r>
      <rPr>
        <b/>
        <sz val="8"/>
        <color theme="6"/>
        <rFont val="宋体"/>
        <charset val="134"/>
      </rPr>
      <t>云南省</t>
    </r>
  </si>
  <si>
    <r>
      <rPr>
        <b/>
        <sz val="8"/>
        <rFont val="宋体"/>
        <charset val="134"/>
      </rPr>
      <t>云南</t>
    </r>
  </si>
  <si>
    <r>
      <rPr>
        <b/>
        <sz val="8"/>
        <rFont val="宋体"/>
        <charset val="134"/>
      </rPr>
      <t>第</t>
    </r>
    <r>
      <rPr>
        <b/>
        <sz val="8"/>
        <rFont val="Times New Roman Regular"/>
        <charset val="134"/>
      </rPr>
      <t>III</t>
    </r>
    <r>
      <rPr>
        <b/>
        <sz val="8"/>
        <rFont val="宋体"/>
        <charset val="134"/>
      </rPr>
      <t>类风能资源区</t>
    </r>
  </si>
  <si>
    <r>
      <rPr>
        <b/>
        <sz val="8"/>
        <rFont val="宋体"/>
        <charset val="134"/>
      </rPr>
      <t>吉林省白城市、松原市</t>
    </r>
    <r>
      <rPr>
        <b/>
        <sz val="8"/>
        <rFont val="Times New Roman Regular"/>
        <charset val="134"/>
      </rPr>
      <t xml:space="preserve">;
</t>
    </r>
    <r>
      <rPr>
        <b/>
        <sz val="8"/>
        <rFont val="宋体"/>
        <charset val="134"/>
      </rPr>
      <t>黑龙江省鸡西市、双鸭山市、七台河市、绥化市、伊春市、大兴安岭地区</t>
    </r>
    <r>
      <rPr>
        <b/>
        <sz val="8"/>
        <rFont val="Times New Roman Regular"/>
        <charset val="134"/>
      </rPr>
      <t xml:space="preserve">;
</t>
    </r>
    <r>
      <rPr>
        <b/>
        <sz val="8"/>
        <rFont val="宋体"/>
        <charset val="134"/>
      </rPr>
      <t>甘肃省除嘉峪关市、酒泉市以外的其他地区</t>
    </r>
    <r>
      <rPr>
        <b/>
        <sz val="8"/>
        <rFont val="Times New Roman Regular"/>
        <charset val="134"/>
      </rPr>
      <t xml:space="preserve">;
</t>
    </r>
    <r>
      <rPr>
        <b/>
        <sz val="8"/>
        <rFont val="宋体"/>
        <charset val="134"/>
      </rPr>
      <t>新疆维吾尔自治区除乌鲁木齐市、伊犁哈萨克族自治州、克拉玛依市、石河子市以外的其他地区</t>
    </r>
    <r>
      <rPr>
        <b/>
        <sz val="8"/>
        <rFont val="Times New Roman Regular"/>
        <charset val="134"/>
      </rPr>
      <t xml:space="preserve">;
</t>
    </r>
    <r>
      <rPr>
        <b/>
        <sz val="8"/>
        <rFont val="宋体"/>
        <charset val="134"/>
      </rPr>
      <t>宁夏回族自治区</t>
    </r>
    <r>
      <rPr>
        <b/>
        <sz val="8"/>
        <rFont val="Times New Roman Regular"/>
        <charset val="134"/>
      </rPr>
      <t>;</t>
    </r>
  </si>
  <si>
    <r>
      <rPr>
        <b/>
        <sz val="8"/>
        <rFont val="宋体"/>
        <charset val="134"/>
      </rPr>
      <t>冀北</t>
    </r>
  </si>
  <si>
    <r>
      <rPr>
        <b/>
        <sz val="8"/>
        <rFont val="宋体"/>
        <charset val="134"/>
      </rPr>
      <t>第</t>
    </r>
    <r>
      <rPr>
        <b/>
        <sz val="8"/>
        <rFont val="Times New Roman Regular"/>
        <charset val="134"/>
      </rPr>
      <t>IV</t>
    </r>
    <r>
      <rPr>
        <b/>
        <sz val="8"/>
        <rFont val="宋体"/>
        <charset val="134"/>
      </rPr>
      <t>类风能资源区</t>
    </r>
  </si>
  <si>
    <r>
      <rPr>
        <b/>
        <sz val="8"/>
        <rFont val="宋体"/>
        <charset val="134"/>
      </rPr>
      <t>除前三类资源区以外的其他地区。</t>
    </r>
  </si>
  <si>
    <r>
      <rPr>
        <b/>
        <sz val="8"/>
        <rFont val="宋体"/>
        <charset val="134"/>
      </rPr>
      <t>甘肃</t>
    </r>
  </si>
  <si>
    <r>
      <rPr>
        <b/>
        <sz val="8"/>
        <rFont val="宋体"/>
        <charset val="134"/>
      </rPr>
      <t>吉林</t>
    </r>
  </si>
  <si>
    <r>
      <rPr>
        <b/>
        <sz val="8"/>
        <rFont val="宋体"/>
        <charset val="134"/>
      </rPr>
      <t>光伏价格政策</t>
    </r>
  </si>
  <si>
    <r>
      <rPr>
        <b/>
        <sz val="8"/>
        <rFont val="宋体"/>
        <charset val="134"/>
      </rPr>
      <t>黑龙江</t>
    </r>
  </si>
  <si>
    <r>
      <rPr>
        <b/>
        <sz val="8"/>
        <rFont val="宋体"/>
        <charset val="134"/>
      </rPr>
      <t>宁夏</t>
    </r>
  </si>
  <si>
    <r>
      <rPr>
        <b/>
        <sz val="8"/>
        <rFont val="Times New Roman Regular"/>
        <charset val="134"/>
      </rPr>
      <t>2015</t>
    </r>
    <r>
      <rPr>
        <b/>
        <sz val="8"/>
        <rFont val="宋体"/>
        <charset val="134"/>
      </rPr>
      <t>年</t>
    </r>
  </si>
  <si>
    <r>
      <rPr>
        <b/>
        <sz val="8"/>
        <rFont val="Times New Roman Regular"/>
        <charset val="134"/>
      </rPr>
      <t>2016</t>
    </r>
    <r>
      <rPr>
        <b/>
        <sz val="8"/>
        <rFont val="宋体"/>
        <charset val="134"/>
      </rPr>
      <t>年</t>
    </r>
  </si>
  <si>
    <r>
      <rPr>
        <b/>
        <sz val="8"/>
        <rFont val="Times New Roman Regular"/>
        <charset val="134"/>
      </rPr>
      <t>2017</t>
    </r>
    <r>
      <rPr>
        <b/>
        <sz val="8"/>
        <rFont val="宋体"/>
        <charset val="134"/>
      </rPr>
      <t>年</t>
    </r>
  </si>
  <si>
    <r>
      <rPr>
        <b/>
        <sz val="8"/>
        <rFont val="Times New Roman Regular"/>
        <charset val="134"/>
      </rPr>
      <t>2018</t>
    </r>
    <r>
      <rPr>
        <b/>
        <sz val="8"/>
        <rFont val="宋体"/>
        <charset val="134"/>
      </rPr>
      <t>年</t>
    </r>
  </si>
  <si>
    <r>
      <rPr>
        <b/>
        <sz val="8"/>
        <rFont val="Times New Roman Regular"/>
        <charset val="134"/>
      </rPr>
      <t>2019</t>
    </r>
    <r>
      <rPr>
        <b/>
        <sz val="8"/>
        <rFont val="宋体"/>
        <charset val="134"/>
      </rPr>
      <t>年</t>
    </r>
  </si>
  <si>
    <r>
      <rPr>
        <b/>
        <sz val="8"/>
        <rFont val="Times New Roman Regular"/>
        <charset val="134"/>
      </rPr>
      <t>2020</t>
    </r>
    <r>
      <rPr>
        <b/>
        <sz val="8"/>
        <rFont val="宋体"/>
        <charset val="134"/>
      </rPr>
      <t>年</t>
    </r>
  </si>
  <si>
    <r>
      <rPr>
        <b/>
        <sz val="8"/>
        <rFont val="宋体"/>
        <charset val="134"/>
      </rPr>
      <t>山西</t>
    </r>
  </si>
  <si>
    <r>
      <rPr>
        <b/>
        <sz val="8"/>
        <rFont val="宋体"/>
        <charset val="134"/>
      </rPr>
      <t>第</t>
    </r>
    <r>
      <rPr>
        <b/>
        <sz val="8"/>
        <rFont val="Times New Roman Regular"/>
        <charset val="134"/>
      </rPr>
      <t>I</t>
    </r>
    <r>
      <rPr>
        <b/>
        <sz val="8"/>
        <rFont val="宋体"/>
        <charset val="134"/>
      </rPr>
      <t>类地区</t>
    </r>
  </si>
  <si>
    <r>
      <rPr>
        <b/>
        <sz val="8"/>
        <rFont val="宋体"/>
        <charset val="134"/>
      </rPr>
      <t>宁夏</t>
    </r>
    <r>
      <rPr>
        <b/>
        <sz val="8"/>
        <rFont val="Times New Roman Regular"/>
        <charset val="134"/>
      </rPr>
      <t>,</t>
    </r>
    <r>
      <rPr>
        <b/>
        <sz val="8"/>
        <rFont val="宋体"/>
        <charset val="134"/>
      </rPr>
      <t>青海海西</t>
    </r>
    <r>
      <rPr>
        <b/>
        <sz val="8"/>
        <rFont val="Times New Roman Regular"/>
        <charset val="134"/>
      </rPr>
      <t>,</t>
    </r>
    <r>
      <rPr>
        <b/>
        <sz val="8"/>
        <rFont val="宋体"/>
        <charset val="134"/>
      </rPr>
      <t>甘肃嘉峪关、武威、张掖、酒泉、敦煌、金昌</t>
    </r>
    <r>
      <rPr>
        <b/>
        <sz val="8"/>
        <rFont val="Times New Roman Regular"/>
        <charset val="134"/>
      </rPr>
      <t>,</t>
    </r>
    <r>
      <rPr>
        <b/>
        <sz val="8"/>
        <rFont val="宋体"/>
        <charset val="134"/>
      </rPr>
      <t>新疆哈密、塔城、阿勒泰、克拉玛依</t>
    </r>
    <r>
      <rPr>
        <b/>
        <sz val="8"/>
        <rFont val="Times New Roman Regular"/>
        <charset val="134"/>
      </rPr>
      <t>,</t>
    </r>
    <r>
      <rPr>
        <b/>
        <sz val="8"/>
        <rFont val="宋体"/>
        <charset val="134"/>
      </rPr>
      <t>内蒙古除赤峰、通辽、兴安盟、呼伦贝尔以外地区</t>
    </r>
  </si>
  <si>
    <r>
      <rPr>
        <b/>
        <sz val="8"/>
        <rFont val="宋体"/>
        <charset val="134"/>
      </rPr>
      <t>青海</t>
    </r>
  </si>
  <si>
    <r>
      <rPr>
        <b/>
        <sz val="8"/>
        <rFont val="宋体"/>
        <charset val="134"/>
      </rPr>
      <t>第</t>
    </r>
    <r>
      <rPr>
        <b/>
        <sz val="8"/>
        <rFont val="Times New Roman Regular"/>
        <charset val="134"/>
      </rPr>
      <t>II</t>
    </r>
    <r>
      <rPr>
        <b/>
        <sz val="8"/>
        <rFont val="宋体"/>
        <charset val="134"/>
      </rPr>
      <t>类地区</t>
    </r>
  </si>
  <si>
    <r>
      <rPr>
        <b/>
        <sz val="8"/>
        <rFont val="宋体"/>
        <charset val="134"/>
      </rPr>
      <t>北京</t>
    </r>
    <r>
      <rPr>
        <b/>
        <sz val="8"/>
        <rFont val="Times New Roman Regular"/>
        <charset val="134"/>
      </rPr>
      <t>,</t>
    </r>
    <r>
      <rPr>
        <b/>
        <sz val="8"/>
        <rFont val="宋体"/>
        <charset val="134"/>
      </rPr>
      <t>天津</t>
    </r>
    <r>
      <rPr>
        <b/>
        <sz val="8"/>
        <rFont val="Times New Roman Regular"/>
        <charset val="134"/>
      </rPr>
      <t>,</t>
    </r>
    <r>
      <rPr>
        <b/>
        <sz val="8"/>
        <rFont val="宋体"/>
        <charset val="134"/>
      </rPr>
      <t>黑龙江</t>
    </r>
    <r>
      <rPr>
        <b/>
        <sz val="8"/>
        <rFont val="Times New Roman Regular"/>
        <charset val="134"/>
      </rPr>
      <t>,</t>
    </r>
    <r>
      <rPr>
        <b/>
        <sz val="8"/>
        <rFont val="宋体"/>
        <charset val="134"/>
      </rPr>
      <t>吉林</t>
    </r>
    <r>
      <rPr>
        <b/>
        <sz val="8"/>
        <rFont val="Times New Roman Regular"/>
        <charset val="134"/>
      </rPr>
      <t>,</t>
    </r>
    <r>
      <rPr>
        <b/>
        <sz val="8"/>
        <rFont val="宋体"/>
        <charset val="134"/>
      </rPr>
      <t>辽宁</t>
    </r>
    <r>
      <rPr>
        <b/>
        <sz val="8"/>
        <rFont val="Times New Roman Regular"/>
        <charset val="134"/>
      </rPr>
      <t>,</t>
    </r>
    <r>
      <rPr>
        <b/>
        <sz val="8"/>
        <rFont val="宋体"/>
        <charset val="134"/>
      </rPr>
      <t>四川</t>
    </r>
    <r>
      <rPr>
        <b/>
        <sz val="8"/>
        <rFont val="Times New Roman Regular"/>
        <charset val="134"/>
      </rPr>
      <t>,</t>
    </r>
    <r>
      <rPr>
        <b/>
        <sz val="8"/>
        <rFont val="宋体"/>
        <charset val="134"/>
      </rPr>
      <t>云南</t>
    </r>
    <r>
      <rPr>
        <b/>
        <sz val="8"/>
        <rFont val="Times New Roman Regular"/>
        <charset val="134"/>
      </rPr>
      <t>,</t>
    </r>
    <r>
      <rPr>
        <b/>
        <sz val="8"/>
        <rFont val="宋体"/>
        <charset val="134"/>
      </rPr>
      <t>内蒙古赤峰、通辽、兴安盟、呼伦贝尔</t>
    </r>
    <r>
      <rPr>
        <b/>
        <sz val="8"/>
        <rFont val="Times New Roman Regular"/>
        <charset val="134"/>
      </rPr>
      <t>,</t>
    </r>
    <r>
      <rPr>
        <b/>
        <sz val="8"/>
        <rFont val="宋体"/>
        <charset val="134"/>
      </rPr>
      <t>河北承德、张家口、唐山、秦皇岛</t>
    </r>
    <r>
      <rPr>
        <b/>
        <sz val="8"/>
        <rFont val="Times New Roman Regular"/>
        <charset val="134"/>
      </rPr>
      <t>,</t>
    </r>
    <r>
      <rPr>
        <b/>
        <sz val="8"/>
        <rFont val="宋体"/>
        <charset val="134"/>
      </rPr>
      <t>山西大同、朔州、忻州</t>
    </r>
    <r>
      <rPr>
        <b/>
        <sz val="8"/>
        <rFont val="Times New Roman Regular"/>
        <charset val="134"/>
      </rPr>
      <t>,</t>
    </r>
    <r>
      <rPr>
        <b/>
        <sz val="8"/>
        <rFont val="宋体"/>
        <charset val="134"/>
      </rPr>
      <t>陕西榆林、延安</t>
    </r>
    <r>
      <rPr>
        <b/>
        <sz val="8"/>
        <rFont val="Times New Roman Regular"/>
        <charset val="134"/>
      </rPr>
      <t>,</t>
    </r>
    <r>
      <rPr>
        <b/>
        <sz val="8"/>
        <rFont val="宋体"/>
        <charset val="134"/>
      </rPr>
      <t>青海、甘肃、新疆除</t>
    </r>
    <r>
      <rPr>
        <b/>
        <sz val="8"/>
        <rFont val="Times New Roman Regular"/>
        <charset val="134"/>
      </rPr>
      <t>I</t>
    </r>
    <r>
      <rPr>
        <b/>
        <sz val="8"/>
        <rFont val="宋体"/>
        <charset val="134"/>
      </rPr>
      <t>类外其他地区</t>
    </r>
  </si>
  <si>
    <r>
      <rPr>
        <b/>
        <sz val="8"/>
        <rFont val="宋体"/>
        <charset val="134"/>
      </rPr>
      <t>陕西</t>
    </r>
  </si>
  <si>
    <r>
      <rPr>
        <b/>
        <sz val="8"/>
        <rFont val="宋体"/>
        <charset val="134"/>
      </rPr>
      <t>第</t>
    </r>
    <r>
      <rPr>
        <b/>
        <sz val="8"/>
        <rFont val="Times New Roman Regular"/>
        <charset val="134"/>
      </rPr>
      <t>III</t>
    </r>
    <r>
      <rPr>
        <b/>
        <sz val="8"/>
        <rFont val="宋体"/>
        <charset val="134"/>
      </rPr>
      <t>类地区</t>
    </r>
  </si>
  <si>
    <r>
      <rPr>
        <b/>
        <sz val="8"/>
        <rFont val="宋体"/>
        <charset val="134"/>
      </rPr>
      <t>除</t>
    </r>
    <r>
      <rPr>
        <b/>
        <sz val="8"/>
        <rFont val="Times New Roman Regular"/>
        <charset val="134"/>
      </rPr>
      <t>I</t>
    </r>
    <r>
      <rPr>
        <b/>
        <sz val="8"/>
        <rFont val="宋体"/>
        <charset val="134"/>
      </rPr>
      <t>类、</t>
    </r>
    <r>
      <rPr>
        <b/>
        <sz val="8"/>
        <rFont val="Times New Roman Regular"/>
        <charset val="134"/>
      </rPr>
      <t>II</t>
    </r>
    <r>
      <rPr>
        <b/>
        <sz val="8"/>
        <rFont val="宋体"/>
        <charset val="134"/>
      </rPr>
      <t>类资源区以外的其他地区</t>
    </r>
  </si>
  <si>
    <r>
      <rPr>
        <b/>
        <sz val="8"/>
        <rFont val="宋体"/>
        <charset val="134"/>
      </rPr>
      <t>贵州</t>
    </r>
  </si>
  <si>
    <r>
      <rPr>
        <b/>
        <sz val="8"/>
        <rFont val="宋体"/>
        <charset val="134"/>
      </rPr>
      <t>冀南</t>
    </r>
  </si>
  <si>
    <r>
      <rPr>
        <b/>
        <sz val="8"/>
        <rFont val="宋体"/>
        <charset val="134"/>
      </rPr>
      <t>天津</t>
    </r>
  </si>
  <si>
    <r>
      <rPr>
        <b/>
        <sz val="8"/>
        <rFont val="宋体"/>
        <charset val="134"/>
      </rPr>
      <t>北京</t>
    </r>
  </si>
  <si>
    <r>
      <rPr>
        <b/>
        <sz val="8"/>
        <rFont val="宋体"/>
        <charset val="134"/>
      </rPr>
      <t>河南</t>
    </r>
  </si>
  <si>
    <r>
      <rPr>
        <b/>
        <sz val="8"/>
        <rFont val="宋体"/>
        <charset val="134"/>
      </rPr>
      <t>辽宁</t>
    </r>
  </si>
  <si>
    <r>
      <rPr>
        <b/>
        <sz val="8"/>
        <rFont val="宋体"/>
        <charset val="134"/>
      </rPr>
      <t>安徽</t>
    </r>
  </si>
  <si>
    <r>
      <rPr>
        <b/>
        <sz val="8"/>
        <rFont val="宋体"/>
        <charset val="134"/>
      </rPr>
      <t>山东</t>
    </r>
  </si>
  <si>
    <r>
      <rPr>
        <b/>
        <sz val="8"/>
        <rFont val="宋体"/>
        <charset val="134"/>
      </rPr>
      <t>福建</t>
    </r>
  </si>
  <si>
    <r>
      <rPr>
        <b/>
        <sz val="8"/>
        <rFont val="宋体"/>
        <charset val="134"/>
      </rPr>
      <t>江苏</t>
    </r>
  </si>
  <si>
    <r>
      <rPr>
        <b/>
        <sz val="8"/>
        <rFont val="宋体"/>
        <charset val="134"/>
      </rPr>
      <t>重庆</t>
    </r>
  </si>
  <si>
    <r>
      <rPr>
        <b/>
        <sz val="8"/>
        <rFont val="宋体"/>
        <charset val="134"/>
      </rPr>
      <t>湖北</t>
    </r>
  </si>
  <si>
    <r>
      <rPr>
        <b/>
        <sz val="8"/>
        <rFont val="宋体"/>
        <charset val="134"/>
      </rPr>
      <t>江西</t>
    </r>
  </si>
  <si>
    <r>
      <rPr>
        <b/>
        <sz val="8"/>
        <rFont val="宋体"/>
        <charset val="134"/>
      </rPr>
      <t>四川</t>
    </r>
  </si>
  <si>
    <r>
      <rPr>
        <b/>
        <sz val="8"/>
        <rFont val="宋体"/>
        <charset val="134"/>
      </rPr>
      <t>上海</t>
    </r>
  </si>
  <si>
    <r>
      <rPr>
        <b/>
        <sz val="8"/>
        <rFont val="宋体"/>
        <charset val="134"/>
      </rPr>
      <t>广西</t>
    </r>
  </si>
  <si>
    <r>
      <rPr>
        <b/>
        <sz val="8"/>
        <rFont val="宋体"/>
        <charset val="134"/>
      </rPr>
      <t>浙江</t>
    </r>
  </si>
  <si>
    <r>
      <rPr>
        <b/>
        <sz val="8"/>
        <rFont val="宋体"/>
        <charset val="134"/>
      </rPr>
      <t>海南</t>
    </r>
  </si>
  <si>
    <r>
      <rPr>
        <b/>
        <sz val="8"/>
        <rFont val="宋体"/>
        <charset val="134"/>
      </rPr>
      <t>湖南</t>
    </r>
  </si>
  <si>
    <r>
      <rPr>
        <b/>
        <sz val="8"/>
        <rFont val="宋体"/>
        <charset val="134"/>
      </rPr>
      <t>广东</t>
    </r>
  </si>
  <si>
    <t>吉尔吉斯巴特肯600MW光伏项目 · WACC测算（全部人民币贷款情形）</t>
  </si>
  <si>
    <t>前提：债务全部采用人民币贷款（Rd=4.5%，5Y LPR 3.5%＋境外风险）；收入/现金流同步按人民币口径或已作汇率对冲。黄色＝输入可改，灰色＝公式。</t>
  </si>
  <si>
    <t>【输入参数】</t>
  </si>
  <si>
    <t>资本金比例 E/V</t>
  </si>
  <si>
    <t>负债比例 D/V</t>
  </si>
  <si>
    <t>企业所得税率 Tc（吉尔吉斯，前10年减免期可改0）</t>
  </si>
  <si>
    <t>行业无杠杆β βu（光伏0.31~0.46，取0.40）</t>
  </si>
  <si>
    <t>无风险利率 rRF（人民币/中10Y，2026-08）</t>
  </si>
  <si>
    <t>成熟市场股权风险溢价 ERP</t>
  </si>
  <si>
    <t>吉尔吉斯国家风险溢价 CRP（主权B3，5Y欧元债利差~415bp×1.3）</t>
  </si>
  <si>
    <t>债务成本 Rd（人民币贷款，5Y LPR 3.5%+境外风险）</t>
  </si>
  <si>
    <t>【测算结果（公式自动计算）】</t>
  </si>
  <si>
    <t>再杠杆β　βL = βu×[1+(1−Tc)×D/E]</t>
  </si>
  <si>
    <t>权益成本 Re（人民币）　= rRF+βL×ERP+CRP</t>
  </si>
  <si>
    <t>税后债务成本 Rd×(1−Tc)</t>
  </si>
  <si>
    <t>WACC（全部人民币贷款）★ = E/V×Re+D/V×Rd×(1−Tc)</t>
  </si>
  <si>
    <t>结论：全部人民币贷款可大幅降低融资成本，WACC 由美元融资的 9.3% 降至约 6.8%（降幅约 2.5 个百分点）。前提是收入/成本已人民币化或已对冲汇率；若 PPA 仍锚定美元而债务全为人民币，存在币种错配，应附加汇率敏感性并计入套保成本。</t>
  </si>
  <si>
    <t>【对比：美元融资(基准) vs 全人民币融资】</t>
  </si>
  <si>
    <t>参数</t>
  </si>
  <si>
    <t>美元融资(基准·主表)</t>
  </si>
  <si>
    <t>全人民币融资</t>
  </si>
  <si>
    <t>无风险利率 rRF</t>
  </si>
  <si>
    <t>再杠杆β βL</t>
  </si>
  <si>
    <t>权益成本 Re</t>
  </si>
  <si>
    <t>债务成本 Rd</t>
  </si>
  <si>
    <t>WACC ★</t>
  </si>
  <si>
    <t>敏感性：WACC（全人民币融资）随 Rd(人民币) 与 CRP 变化</t>
  </si>
  <si>
    <t>Rd↓ / CRP→</t>
  </si>
  <si>
    <t>Rd=3.5%</t>
  </si>
  <si>
    <t>Rd=4.0%</t>
  </si>
  <si>
    <t>Rd=4.5%</t>
  </si>
  <si>
    <t>Rd=5.0%</t>
  </si>
  <si>
    <t>Rd=5.5%</t>
  </si>
  <si>
    <t>注：基准组合 Rd=4.5%、CRP=5.4% → WACC≈6.8%。若人民币对美元贬值10%，相当于美元口径下融资成本上升，建议另做汇率敏感性。</t>
  </si>
  <si>
    <t>敏感性分析基准数据</t>
  </si>
  <si>
    <t>补贴从运营期
第N年开始</t>
  </si>
  <si>
    <t>含税电价</t>
  </si>
  <si>
    <t>总投资投资</t>
  </si>
  <si>
    <t>小时数</t>
  </si>
  <si>
    <t>全投资IRR</t>
  </si>
  <si>
    <t>资本金IRR</t>
  </si>
  <si>
    <t>项目敏感性分析</t>
  </si>
  <si>
    <t>项目核心经营数据</t>
  </si>
  <si>
    <t>变化</t>
  </si>
  <si>
    <t>全投资内部收益率</t>
  </si>
  <si>
    <t>资本金内部收益率</t>
  </si>
  <si>
    <t>运营</t>
  </si>
  <si>
    <t>运营期</t>
  </si>
  <si>
    <t>基本方案</t>
  </si>
  <si>
    <t>第1年</t>
  </si>
  <si>
    <t>第2年</t>
  </si>
  <si>
    <t>第3年</t>
  </si>
  <si>
    <t>第4年</t>
  </si>
  <si>
    <t>第5年</t>
  </si>
  <si>
    <t>年均</t>
  </si>
  <si>
    <t>总收入</t>
  </si>
  <si>
    <t>投资总额</t>
  </si>
  <si>
    <t>净利润</t>
  </si>
  <si>
    <t>EVA</t>
  </si>
  <si>
    <t>净现金流</t>
  </si>
  <si>
    <t>上网电价</t>
  </si>
  <si>
    <r>
      <rPr>
        <b/>
        <sz val="14"/>
        <rFont val="宋体"/>
        <charset val="134"/>
      </rPr>
      <t xml:space="preserve">吉尔吉斯斯坦 600MW 光伏经济性测算(电价 = </t>
    </r>
    <r>
      <rPr>
        <b/>
        <sz val="14"/>
        <color rgb="FFFF0000"/>
        <rFont val="宋体"/>
        <charset val="134"/>
      </rPr>
      <t>5美分/kwh</t>
    </r>
    <r>
      <rPr>
        <b/>
        <sz val="14"/>
        <rFont val="宋体"/>
        <charset val="134"/>
      </rPr>
      <t>)</t>
    </r>
  </si>
  <si>
    <t>总投资
（万元）</t>
  </si>
  <si>
    <t>电站EPC
（万元）</t>
  </si>
  <si>
    <t>储能投资（万元）</t>
  </si>
  <si>
    <t>全投资
IRR</t>
  </si>
  <si>
    <t>资本金
IRR</t>
  </si>
  <si>
    <t>储能小时数</t>
  </si>
  <si>
    <t>储能投资</t>
  </si>
  <si>
    <t>无储能</t>
  </si>
  <si>
    <t>EPC = 28亿时</t>
  </si>
  <si>
    <t>利用小时数</t>
  </si>
  <si>
    <t>全投资IRR=8.5%时</t>
  </si>
  <si>
    <t>电站EPC=28亿时</t>
  </si>
  <si>
    <t>全投资IRR=8.5%时反算</t>
  </si>
  <si>
    <t>全投资IRR=9.0%时反算</t>
  </si>
  <si>
    <t>计算：</t>
  </si>
  <si>
    <r>
      <rPr>
        <b/>
        <sz val="14"/>
        <rFont val="宋体"/>
        <charset val="134"/>
      </rPr>
      <t xml:space="preserve">吉尔吉斯斯坦 600MW 光伏经济性测算(电价 = </t>
    </r>
    <r>
      <rPr>
        <b/>
        <sz val="14"/>
        <color rgb="FFFF0000"/>
        <rFont val="宋体"/>
        <charset val="134"/>
      </rPr>
      <t>5美分/kwh 不含税</t>
    </r>
    <r>
      <rPr>
        <b/>
        <sz val="14"/>
        <rFont val="宋体"/>
        <charset val="134"/>
      </rPr>
      <t>)</t>
    </r>
  </si>
  <si>
    <t>电价优惠期
15年</t>
  </si>
  <si>
    <t>电价优惠期
25年</t>
  </si>
  <si>
    <t>吉尔吉斯斯坦780兆瓦光伏发电项目EPC报价</t>
  </si>
  <si>
    <t xml:space="preserve">序号
Serial number </t>
  </si>
  <si>
    <t>项目名称
Item Name</t>
  </si>
  <si>
    <t>型号规格
Type And Specification</t>
  </si>
  <si>
    <t>单位
Unit</t>
  </si>
  <si>
    <t>数量
Quantity</t>
  </si>
  <si>
    <t>单价(元)
Unit Price(yuan)</t>
  </si>
  <si>
    <t>合价（万元）
Combined price(ten thousand yuan)</t>
  </si>
  <si>
    <t>单瓦（元/瓦）
Unit price per watt (yuan/watt)</t>
  </si>
  <si>
    <t>一
I</t>
  </si>
  <si>
    <t>主要设备材料采购费
Purchase cost of major equipment and materials</t>
  </si>
  <si>
    <t>光伏组件
PV modules</t>
  </si>
  <si>
    <t>720Wp-PERC单晶双面电池组件、满足IEC标准/TUV认证
720Wp-PERC single-crystal double-sided PV module, meet the IEC standard /TUV certification</t>
  </si>
  <si>
    <t>箱变</t>
  </si>
  <si>
    <t>35KV、IP65、效率大于99%、满足IEC标准/TUV认证
35KV, IP65, efficiency greater than 99%, meet the IEC standard /TUV certification</t>
  </si>
  <si>
    <t>支架
bracket</t>
  </si>
  <si>
    <t>Q355B、Q235B锌镁铝
Q355B, Q235B Zinc magnesium aluminum</t>
  </si>
  <si>
    <t>桩基础
Pile foundation</t>
  </si>
  <si>
    <t>电缆
Cables</t>
  </si>
  <si>
    <t>光伏电缆（铜1*4mm²）、低压直流（铝合金）、高压电缆（铝合金） 、光纤
Photovoltaic cable (copper 1*4mm²), low voltage DC (aluminum alloy), high voltage cable (aluminum alloy), optical fiber</t>
  </si>
  <si>
    <t>光伏区通讯及视频监控
Communication and video monitoring in PV area</t>
  </si>
  <si>
    <t>安装及调试
Installation and commissioning</t>
  </si>
  <si>
    <t>小计
Subtotal price</t>
  </si>
  <si>
    <t>二
II</t>
  </si>
  <si>
    <t>光伏区施工
Construction of PV area</t>
  </si>
  <si>
    <t>测量放点
Measurement and setting out</t>
  </si>
  <si>
    <t>土建基础施工
Civil foundation construction</t>
  </si>
  <si>
    <t>桩基础施工
pile foundation construction</t>
  </si>
  <si>
    <t>设备安装
Equipment installation</t>
  </si>
  <si>
    <t>支架、组件、汇流箱、一体机
Bracket, modules, combiner box,box transformer and inverter integrated machine</t>
  </si>
  <si>
    <t>电气安装
Electric installation</t>
  </si>
  <si>
    <t>电缆敷设、接地系统
Cable laying and grounding system</t>
  </si>
  <si>
    <t>调试及试验
Commissioning and testing</t>
  </si>
  <si>
    <t>光伏区设备材料、调试及预防性试验费
Commissioning and preventive test fees for equipment and materials in PV area</t>
  </si>
  <si>
    <t>设备基础等土建工程
Equipment foundation and other civil works</t>
  </si>
  <si>
    <t>箱逆变一体机等土建工程
foundation of box transformer and inverter integrated machine and other civil works</t>
  </si>
  <si>
    <t>光伏区围栏
Fence for PV area</t>
  </si>
  <si>
    <t>1.8m高浸塑围栏、丝径2.2mm
1.8m high dip plastic fence, with wire diameter of 2.2mm</t>
  </si>
  <si>
    <t>光伏区道路
Road in PV area</t>
  </si>
  <si>
    <t>场区检修道路（4m宽砂石道路）
Site maintenance road (4m wide gravel road)</t>
  </si>
  <si>
    <t>施工辅材
Construction auxiliary material</t>
  </si>
  <si>
    <t>桥架、线管、防火泥、防火封堵等
 Cable Tray, line pipe, fire mud, fire sealing, etc</t>
  </si>
  <si>
    <t>试桩
trial pile</t>
  </si>
  <si>
    <t>项
Item</t>
  </si>
  <si>
    <t>临建设施
Temporary construction facilities</t>
  </si>
  <si>
    <t>现场办公区、生活区及水、电、油、网等
Water, electricity, oil, Internet, and other facilities for on-site office area and living area</t>
  </si>
  <si>
    <t>安全文明措施费
Safety and civilization measures expense</t>
  </si>
  <si>
    <t>三
III</t>
  </si>
  <si>
    <t>升压站及送出工程
Engineering of booster station and power transmission lines</t>
  </si>
  <si>
    <t>500kV 升压站
500kV booster station</t>
  </si>
  <si>
    <t>2*290MVA主变，总容量580MW、主变等电气设备满足IEC标准</t>
  </si>
  <si>
    <t>座</t>
  </si>
  <si>
    <t>220kV 升压站
220kV booster station</t>
  </si>
  <si>
    <t>送出工程
Power transmission lines</t>
  </si>
  <si>
    <t>500kv线路</t>
  </si>
  <si>
    <t>220kv线路</t>
  </si>
  <si>
    <t>调试试验费
Commissioning and testing fee</t>
  </si>
  <si>
    <t>四
IV</t>
  </si>
  <si>
    <t>勘察设计费
Survey and design expenses</t>
  </si>
  <si>
    <t>地勘、测绘
Geological surveying and mapping</t>
  </si>
  <si>
    <t>光伏区设计
Design of PV area</t>
  </si>
  <si>
    <t>500kV和220kv升压站设计
Design of 500kV booster station</t>
  </si>
  <si>
    <t>转图费用</t>
  </si>
  <si>
    <t>线路设计
Design of power transmission lines</t>
  </si>
  <si>
    <t>其他 Others</t>
  </si>
  <si>
    <t>手续审批</t>
  </si>
  <si>
    <t>征林征地及补偿</t>
  </si>
  <si>
    <t>水土保持</t>
  </si>
  <si>
    <t>场外道路</t>
  </si>
  <si>
    <t>保险费
Insurance expenses</t>
  </si>
  <si>
    <t>建筑工程一切险、团意险
Construction All Risks Insurance and Group Accident Insurance</t>
  </si>
  <si>
    <t>公司管理费
Home office overheads</t>
  </si>
  <si>
    <t>现场管理费
Field overhead</t>
  </si>
  <si>
    <t>履约保函费用
Charge for issuing performance security</t>
  </si>
  <si>
    <t>税务法务咨询服务费
Consulting service fee</t>
  </si>
  <si>
    <t>税金
Taxes</t>
  </si>
  <si>
    <t>中国境内税务成本
Tax costs in China</t>
  </si>
  <si>
    <t>六</t>
  </si>
  <si>
    <t>七</t>
  </si>
  <si>
    <t>总计Total Price</t>
  </si>
  <si>
    <t>unit：Chinese Yuan    USD 1= 7 Yuan</t>
  </si>
  <si>
    <t>1
项目测算情况
Project measurements</t>
  </si>
  <si>
    <t>首年小时数 The rist hours of Electricity
(小时)</t>
  </si>
  <si>
    <t>储能比例 EnergyStorageRatio /配置小时数 Hours</t>
  </si>
  <si>
    <t>DSCR need &gt;1.25 
偿债备付率
（min/average）</t>
  </si>
  <si>
    <t>项目占地 lands
（Hectare 公顷）</t>
  </si>
  <si>
    <t>年租金标准
Aanual Rent Fee 
(US$/Hectare)</t>
  </si>
  <si>
    <t>土地补偿标准
Land compensation
（US$  /Hectare）</t>
  </si>
  <si>
    <r>
      <rPr>
        <b/>
        <sz val="11"/>
        <rFont val="宋体"/>
        <charset val="134"/>
      </rPr>
      <t>项目总投资
total project investment</t>
    </r>
    <r>
      <rPr>
        <b/>
        <sz val="11"/>
        <rFont val="Times New Roman Regular"/>
        <charset val="134"/>
      </rPr>
      <t xml:space="preserve">
(</t>
    </r>
    <r>
      <rPr>
        <b/>
        <sz val="11"/>
        <rFont val="宋体"/>
        <charset val="134"/>
      </rPr>
      <t>￥</t>
    </r>
    <r>
      <rPr>
        <b/>
        <sz val="11"/>
        <rFont val="Times New Roman Regular"/>
        <charset val="134"/>
      </rPr>
      <t xml:space="preserve">10,000 </t>
    </r>
    <r>
      <rPr>
        <b/>
        <sz val="11"/>
        <rFont val="宋体"/>
        <charset val="134"/>
      </rPr>
      <t>万元</t>
    </r>
    <r>
      <rPr>
        <b/>
        <sz val="11"/>
        <rFont val="Times New Roman Regular"/>
        <charset val="134"/>
      </rPr>
      <t>)</t>
    </r>
  </si>
  <si>
    <r>
      <rPr>
        <sz val="11"/>
        <rFont val="宋体"/>
        <charset val="134"/>
      </rPr>
      <t xml:space="preserve">全投资
Total Investment </t>
    </r>
    <r>
      <rPr>
        <sz val="11"/>
        <rFont val="Times New Roman Regular"/>
        <charset val="134"/>
      </rPr>
      <t xml:space="preserve">
IRR</t>
    </r>
  </si>
  <si>
    <r>
      <rPr>
        <sz val="11"/>
        <rFont val="宋体"/>
        <charset val="134"/>
      </rPr>
      <t>资本金</t>
    </r>
    <r>
      <rPr>
        <sz val="11"/>
        <rFont val="Times New Roman Regular"/>
        <charset val="134"/>
      </rPr>
      <t xml:space="preserve">
Equity IRR</t>
    </r>
  </si>
  <si>
    <t>其中：
电站总投资
Total Investment
(￥10,000 万元)</t>
  </si>
  <si>
    <t>其中：
储能总投资
Energy Storage Investment
（￥10,000 万元）</t>
  </si>
  <si>
    <r>
      <rPr>
        <sz val="11"/>
        <rFont val="宋体"/>
        <charset val="134"/>
      </rPr>
      <t xml:space="preserve">储能动态投资造价
Energy storage dynamic investment cost
</t>
    </r>
    <r>
      <rPr>
        <sz val="11"/>
        <rFont val="Times New Roman Regular"/>
        <charset val="134"/>
      </rPr>
      <t>(</t>
    </r>
    <r>
      <rPr>
        <sz val="11"/>
        <rFont val="宋体"/>
        <charset val="134"/>
      </rPr>
      <t>￥</t>
    </r>
    <r>
      <rPr>
        <sz val="11"/>
        <rFont val="Times New Roman Regular"/>
        <charset val="134"/>
      </rPr>
      <t>/wh)</t>
    </r>
  </si>
  <si>
    <r>
      <rPr>
        <sz val="11"/>
        <rFont val="宋体"/>
        <charset val="134"/>
      </rPr>
      <t>电站动态
投资造价
电站动态</t>
    </r>
    <r>
      <rPr>
        <sz val="11"/>
        <rFont val="Times New Roman Regular"/>
        <charset val="134"/>
      </rPr>
      <t xml:space="preserve">
</t>
    </r>
    <r>
      <rPr>
        <sz val="11"/>
        <rFont val="宋体"/>
        <charset val="134"/>
      </rPr>
      <t>（￥</t>
    </r>
    <r>
      <rPr>
        <sz val="11"/>
        <rFont val="Times New Roman Regular"/>
        <charset val="134"/>
      </rPr>
      <t>/W</t>
    </r>
    <r>
      <rPr>
        <sz val="11"/>
        <rFont val="宋体"/>
        <charset val="134"/>
      </rPr>
      <t>）</t>
    </r>
  </si>
  <si>
    <t>平均运维成本
Average operation and maintenance cost
（￥/KW）</t>
  </si>
  <si>
    <t>2
建设期利息和业主管理费
Construction period interest and owner management fees</t>
  </si>
  <si>
    <t>建设期利息 Interest during construction period</t>
  </si>
  <si>
    <t>业主管理费（含电站+储能）Owner management fee (including power station + energy storage)</t>
  </si>
  <si>
    <t>流动资金 working capital</t>
  </si>
  <si>
    <t>d</t>
  </si>
  <si>
    <t>融资费 Financing fee</t>
  </si>
  <si>
    <t>e</t>
  </si>
  <si>
    <t xml:space="preserve">结余 balance = (1) - (2)  = </t>
  </si>
  <si>
    <t>3
前期开发阶段
pre-development stage</t>
  </si>
  <si>
    <t>内容</t>
  </si>
  <si>
    <t>单价 Price</t>
  </si>
  <si>
    <t>备注 Note</t>
  </si>
  <si>
    <t>负责项目在吉尔吉斯斯坦境内的所有审批手续办理
Responsible for all approvals and formalities for the project in Kyrgyzstan</t>
  </si>
  <si>
    <t>技术开发费
Technology development fee</t>
  </si>
  <si>
    <t>协助阿克然公司办理手续，提供商务、经济分析支撑
Assist Akran Company to handle procedures and provide business and economic analysis support</t>
  </si>
  <si>
    <t>结余 balance = (1) - (2) - (3) =</t>
  </si>
  <si>
    <t>技术开发费总额
Total of 
Technology development fee</t>
  </si>
  <si>
    <t>4
 EPC 总包工程部分
EPC general contracting project part</t>
  </si>
  <si>
    <t>光伏组件 
Photovoltaic modules PV modules</t>
  </si>
  <si>
    <t>箱变 Box transformer</t>
  </si>
  <si>
    <t>逆变器 inverter</t>
  </si>
  <si>
    <t>支架 Bracket</t>
  </si>
  <si>
    <t>桩基础 pile foundation</t>
  </si>
  <si>
    <t>f</t>
  </si>
  <si>
    <t>电缆 Cable</t>
  </si>
  <si>
    <t>g</t>
  </si>
  <si>
    <t>通讯及监控 Communication and monitoring</t>
  </si>
  <si>
    <t>设备安装  、Equipment installation</t>
  </si>
  <si>
    <t>i</t>
  </si>
  <si>
    <t>电气安装 Electrical installation</t>
  </si>
  <si>
    <t>j</t>
  </si>
  <si>
    <t>调试及试验 Debugging and testing</t>
  </si>
  <si>
    <t>k</t>
  </si>
  <si>
    <t>设备基础等土建工程 Equipment foundation and other civil engineering projects</t>
  </si>
  <si>
    <t>l</t>
  </si>
  <si>
    <t>光伏区围栏 Photovoltaic area fence</t>
  </si>
  <si>
    <t>m</t>
  </si>
  <si>
    <t>升压站 booster station</t>
  </si>
  <si>
    <t>n</t>
  </si>
  <si>
    <t>储能系统和工程 Energy Storage Systems and Engineering</t>
  </si>
  <si>
    <t>o</t>
  </si>
  <si>
    <t>勘察设计 survey and design</t>
  </si>
  <si>
    <t>p</t>
  </si>
  <si>
    <t>运费 freight</t>
  </si>
  <si>
    <t>q</t>
  </si>
  <si>
    <t>境内税务成本 Domestic tax costs</t>
  </si>
  <si>
    <t>r</t>
  </si>
  <si>
    <t>其他 others</t>
  </si>
  <si>
    <t>s</t>
  </si>
  <si>
    <t>结余 balance= (1) - (2) - (3) - (4) =</t>
  </si>
  <si>
    <t>unit：Chinese Yuan/￥    USD 1= 7 Yuan</t>
  </si>
  <si>
    <r>
      <rPr>
        <b/>
        <sz val="11"/>
        <rFont val="宋体"/>
        <charset val="134"/>
      </rPr>
      <t>项目总投资
total project investment</t>
    </r>
    <r>
      <rPr>
        <b/>
        <sz val="11"/>
        <rFont val="Times New Roman Regular"/>
        <charset val="134"/>
      </rPr>
      <t xml:space="preserve">
(</t>
    </r>
    <r>
      <rPr>
        <b/>
        <sz val="11"/>
        <rFont val="宋体"/>
        <charset val="134"/>
      </rPr>
      <t>￥</t>
    </r>
    <r>
      <rPr>
        <b/>
        <sz val="11"/>
        <rFont val="Times New Roman Regular"/>
        <charset val="134"/>
      </rPr>
      <t xml:space="preserve">1,000 </t>
    </r>
    <r>
      <rPr>
        <b/>
        <sz val="11"/>
        <rFont val="宋体"/>
        <charset val="134"/>
      </rPr>
      <t>千元</t>
    </r>
    <r>
      <rPr>
        <b/>
        <sz val="11"/>
        <rFont val="Times New Roman Regular"/>
        <charset val="134"/>
      </rPr>
      <t>)</t>
    </r>
  </si>
  <si>
    <t>其中：
电站总投资
Total Investment
(￥1,000 千元)</t>
  </si>
  <si>
    <t>其中：
储能总投资
Battery Energy Storage System Investment
（￥1,000 千元）</t>
  </si>
  <si>
    <t>k yuan=￥1,000=CNY 1,000</t>
  </si>
  <si>
    <t>项目技术开发费
Project Technology development fee</t>
  </si>
  <si>
    <t>项目技术开发费总额
Total of Project 
Technology development fee</t>
  </si>
  <si>
    <t>Adjustable Room</t>
  </si>
  <si>
    <t>1
项目测算情况</t>
  </si>
  <si>
    <t>交流/直流容量
（MW）
容配比 1.3</t>
  </si>
  <si>
    <t>电价
(不含税)
(US$/kwh)</t>
  </si>
  <si>
    <r>
      <rPr>
        <sz val="11"/>
        <rFont val="宋体"/>
        <charset val="134"/>
      </rPr>
      <t xml:space="preserve">电力辅助服务费
</t>
    </r>
    <r>
      <rPr>
        <sz val="11"/>
        <rFont val="Times New Roman Regular"/>
        <charset val="134"/>
      </rPr>
      <t>(</t>
    </r>
    <r>
      <rPr>
        <sz val="11"/>
        <rFont val="宋体-简"/>
        <charset val="134"/>
      </rPr>
      <t>元</t>
    </r>
    <r>
      <rPr>
        <sz val="11"/>
        <rFont val="Times New Roman Regular"/>
        <charset val="134"/>
      </rPr>
      <t>/kwh)</t>
    </r>
  </si>
  <si>
    <t>年租金标准
(美元/公顷)</t>
  </si>
  <si>
    <t>600 / 780</t>
  </si>
  <si>
    <t>30% / 1小时</t>
  </si>
  <si>
    <r>
      <rPr>
        <b/>
        <sz val="11"/>
        <rFont val="宋体"/>
        <charset val="134"/>
      </rPr>
      <t>项目总投资</t>
    </r>
    <r>
      <rPr>
        <b/>
        <sz val="11"/>
        <rFont val="Times New Roman Regular"/>
        <charset val="134"/>
      </rPr>
      <t xml:space="preserve">
(</t>
    </r>
    <r>
      <rPr>
        <b/>
        <sz val="11"/>
        <rFont val="宋体-简"/>
        <charset val="134"/>
      </rPr>
      <t>万元</t>
    </r>
    <r>
      <rPr>
        <b/>
        <sz val="11"/>
        <rFont val="Times New Roman Regular"/>
        <charset val="134"/>
      </rPr>
      <t>)</t>
    </r>
  </si>
  <si>
    <r>
      <rPr>
        <sz val="11"/>
        <rFont val="宋体"/>
        <charset val="134"/>
      </rPr>
      <t>全投资</t>
    </r>
    <r>
      <rPr>
        <sz val="11"/>
        <rFont val="Times New Roman Regular"/>
        <charset val="134"/>
      </rPr>
      <t xml:space="preserve">
IRR</t>
    </r>
  </si>
  <si>
    <r>
      <rPr>
        <sz val="11"/>
        <rFont val="宋体"/>
        <charset val="134"/>
      </rPr>
      <t>资本金</t>
    </r>
    <r>
      <rPr>
        <sz val="11"/>
        <rFont val="Times New Roman Regular"/>
        <charset val="134"/>
      </rPr>
      <t xml:space="preserve">
IRR</t>
    </r>
  </si>
  <si>
    <r>
      <rPr>
        <sz val="11"/>
        <rFont val="宋体"/>
        <charset val="134"/>
      </rPr>
      <t>其中：
电站总投资</t>
    </r>
    <r>
      <rPr>
        <sz val="11"/>
        <rFont val="Times New Roman Regular"/>
        <charset val="134"/>
      </rPr>
      <t xml:space="preserve">
</t>
    </r>
    <r>
      <rPr>
        <sz val="8"/>
        <rFont val="Times New Roman Regular"/>
        <charset val="134"/>
      </rPr>
      <t>(</t>
    </r>
    <r>
      <rPr>
        <sz val="8"/>
        <rFont val="宋体-简"/>
        <charset val="134"/>
      </rPr>
      <t>万元</t>
    </r>
    <r>
      <rPr>
        <sz val="8"/>
        <rFont val="Times New Roman Regular"/>
        <charset val="134"/>
      </rPr>
      <t>)</t>
    </r>
  </si>
  <si>
    <r>
      <rPr>
        <sz val="11"/>
        <rFont val="宋体"/>
        <charset val="134"/>
      </rPr>
      <t>其中：
储能总投资</t>
    </r>
    <r>
      <rPr>
        <sz val="8"/>
        <rFont val="Times New Roman Regular"/>
        <charset val="134"/>
      </rPr>
      <t xml:space="preserve">
</t>
    </r>
    <r>
      <rPr>
        <sz val="8"/>
        <rFont val="宋体"/>
        <charset val="134"/>
      </rPr>
      <t>（万元）</t>
    </r>
  </si>
  <si>
    <r>
      <rPr>
        <sz val="11"/>
        <rFont val="宋体"/>
        <charset val="134"/>
      </rPr>
      <t xml:space="preserve">储能动态投资造价
</t>
    </r>
    <r>
      <rPr>
        <sz val="11"/>
        <rFont val="Times New Roman Regular"/>
        <charset val="134"/>
      </rPr>
      <t>(</t>
    </r>
    <r>
      <rPr>
        <sz val="11"/>
        <rFont val="宋体"/>
        <charset val="134"/>
      </rPr>
      <t>元</t>
    </r>
    <r>
      <rPr>
        <sz val="11"/>
        <rFont val="Times New Roman Regular"/>
        <charset val="134"/>
      </rPr>
      <t>/wh)</t>
    </r>
  </si>
  <si>
    <r>
      <rPr>
        <sz val="11"/>
        <rFont val="宋体"/>
        <charset val="134"/>
      </rPr>
      <t>电站动态
投资造价</t>
    </r>
    <r>
      <rPr>
        <sz val="11"/>
        <rFont val="Times New Roman Regular"/>
        <charset val="134"/>
      </rPr>
      <t xml:space="preserve">
</t>
    </r>
    <r>
      <rPr>
        <sz val="11"/>
        <rFont val="宋体"/>
        <charset val="134"/>
      </rPr>
      <t>（元</t>
    </r>
    <r>
      <rPr>
        <sz val="11"/>
        <rFont val="Times New Roman Regular"/>
        <charset val="134"/>
      </rPr>
      <t>/W</t>
    </r>
    <r>
      <rPr>
        <sz val="11"/>
        <rFont val="宋体"/>
        <charset val="134"/>
      </rPr>
      <t>）</t>
    </r>
  </si>
  <si>
    <t>所得税
销售税
土地税</t>
  </si>
  <si>
    <t>测算总投资：当收益率为 8.50% 时，总投资为（1）</t>
  </si>
  <si>
    <t>2
建设期利息和业主管理费</t>
  </si>
  <si>
    <t>投资分析</t>
  </si>
  <si>
    <t>业主管理费（含电站+储能）</t>
  </si>
  <si>
    <t>融资费</t>
  </si>
  <si>
    <t>结余</t>
  </si>
  <si>
    <t>（1）-（2）：</t>
  </si>
  <si>
    <t>利息和业主管理费 合计（3）</t>
  </si>
  <si>
    <t>2
前期阶段</t>
  </si>
  <si>
    <t>电价</t>
  </si>
  <si>
    <t>来源</t>
  </si>
  <si>
    <t>征林征地和青苗补偿工作委托协议</t>
  </si>
  <si>
    <t>合同</t>
  </si>
  <si>
    <t>接入系统方案及接入系统批复</t>
  </si>
  <si>
    <t>预估</t>
  </si>
  <si>
    <t>项目委托开发协议（包含从开发、建设、并网全过程中，可能涉及的各项文件的编制、审批、协调：地勘、环评、水保、压覆矿、文物、地灾、安全评估、职业健康、军事消防、电磁辐射等）</t>
  </si>
  <si>
    <t>11院概算中的“手续审批”（包含在征林征地中）</t>
  </si>
  <si>
    <t>（1）-（2）-（3）：</t>
  </si>
  <si>
    <t xml:space="preserve">
前期阶段  合计（2）</t>
  </si>
  <si>
    <t>4
工程 EPC 总包</t>
  </si>
  <si>
    <t>主要设备材料采购费</t>
  </si>
  <si>
    <t>11院</t>
  </si>
  <si>
    <t>光伏区施工</t>
  </si>
  <si>
    <t>升压站及送出工程</t>
  </si>
  <si>
    <t>11院的73.42%</t>
  </si>
  <si>
    <t>其他 （扣除：手续审批、征林征地及补偿、水土保持、场外道路）</t>
  </si>
  <si>
    <t>11院的73.69%</t>
  </si>
  <si>
    <t>勘察设计与项目管理合同</t>
  </si>
  <si>
    <t>已签订</t>
  </si>
  <si>
    <t>11院的40.24%</t>
  </si>
  <si>
    <t>储能 EPC 总包</t>
  </si>
  <si>
    <t>（1）-（2）-（3）-（4）：</t>
  </si>
  <si>
    <t xml:space="preserve">
工程 EPC 总包 合计（4）</t>
  </si>
  <si>
    <t>吉尔吉斯斯坦共和国-巴特肯州巴特肯区阿克塔特尔600兆瓦光伏发电项目投资构成情况
IRR=10.35%（电价优惠期=25年）</t>
  </si>
  <si>
    <t>测算总投资：当收益率为 10.35% 时，总投资为（1）</t>
  </si>
  <si>
    <t>11院的49.86%</t>
  </si>
  <si>
    <t>营业收入、营业税金及附加和增值税估算表</t>
  </si>
  <si>
    <r>
      <rPr>
        <sz val="12"/>
        <rFont val="Times New Roman"/>
        <charset val="134"/>
      </rPr>
      <t xml:space="preserve">                       </t>
    </r>
    <r>
      <rPr>
        <sz val="12"/>
        <rFont val="宋体"/>
        <charset val="134"/>
      </rPr>
      <t>年份
名称</t>
    </r>
  </si>
  <si>
    <t>营业收入
（不含增值税和销售税）</t>
  </si>
  <si>
    <t>电力销售</t>
  </si>
  <si>
    <t>保障标杆收入</t>
  </si>
  <si>
    <r>
      <rPr>
        <sz val="12"/>
        <rFont val="宋体"/>
        <charset val="134"/>
      </rPr>
      <t>保障标杆单价（元</t>
    </r>
    <r>
      <rPr>
        <sz val="12"/>
        <rFont val="Times New Roman"/>
        <charset val="134"/>
      </rPr>
      <t>/kWh</t>
    </r>
    <r>
      <rPr>
        <sz val="12"/>
        <rFont val="宋体"/>
        <charset val="134"/>
      </rPr>
      <t>）</t>
    </r>
  </si>
  <si>
    <t>保障小时数</t>
  </si>
  <si>
    <t>保障电量</t>
  </si>
  <si>
    <t>超发外收入</t>
  </si>
  <si>
    <t>超发单价（元/kWh）</t>
  </si>
  <si>
    <t>超发小时数</t>
  </si>
  <si>
    <t>超发电量</t>
  </si>
  <si>
    <t>1.1.4</t>
  </si>
  <si>
    <t>储能容量租赁收入</t>
  </si>
  <si>
    <t>租赁价格(元/wh)</t>
  </si>
  <si>
    <t>租赁容量（kw）</t>
  </si>
  <si>
    <t>1.1.5</t>
  </si>
  <si>
    <t>储能收入/一般纳入市场化交易考虑</t>
  </si>
  <si>
    <t>储能电价(元/kWh)/一般按市场化交易价格考虑</t>
  </si>
  <si>
    <t>储能电量(MW)</t>
  </si>
  <si>
    <t>销项税额</t>
  </si>
  <si>
    <t>增值税初始</t>
  </si>
  <si>
    <t>进项税额</t>
  </si>
  <si>
    <t>递延抵扣前余额</t>
  </si>
  <si>
    <t>增值税缴纳</t>
  </si>
  <si>
    <t>增值税减免</t>
  </si>
  <si>
    <t>递延抵扣后余额</t>
  </si>
  <si>
    <t>增值税返还时的实际收入</t>
  </si>
  <si>
    <r>
      <rPr>
        <b/>
        <sz val="18"/>
        <rFont val="Times New Roman"/>
        <charset val="134"/>
      </rPr>
      <t xml:space="preserve"> </t>
    </r>
    <r>
      <rPr>
        <b/>
        <sz val="18"/>
        <rFont val="宋体"/>
        <charset val="134"/>
      </rPr>
      <t>财</t>
    </r>
    <r>
      <rPr>
        <b/>
        <sz val="18"/>
        <rFont val="Times New Roman"/>
        <charset val="134"/>
      </rPr>
      <t xml:space="preserve"> </t>
    </r>
    <r>
      <rPr>
        <b/>
        <sz val="18"/>
        <rFont val="宋体"/>
        <charset val="134"/>
      </rPr>
      <t>务</t>
    </r>
    <r>
      <rPr>
        <b/>
        <sz val="18"/>
        <rFont val="Times New Roman"/>
        <charset val="134"/>
      </rPr>
      <t xml:space="preserve"> </t>
    </r>
    <r>
      <rPr>
        <b/>
        <sz val="18"/>
        <rFont val="宋体"/>
        <charset val="134"/>
      </rPr>
      <t>计 划 现</t>
    </r>
    <r>
      <rPr>
        <b/>
        <sz val="18"/>
        <rFont val="Times New Roman"/>
        <charset val="134"/>
      </rPr>
      <t xml:space="preserve"> </t>
    </r>
    <r>
      <rPr>
        <b/>
        <sz val="18"/>
        <rFont val="宋体"/>
        <charset val="134"/>
      </rPr>
      <t>金</t>
    </r>
    <r>
      <rPr>
        <b/>
        <sz val="18"/>
        <rFont val="Times New Roman"/>
        <charset val="134"/>
      </rPr>
      <t xml:space="preserve"> </t>
    </r>
    <r>
      <rPr>
        <b/>
        <sz val="18"/>
        <rFont val="宋体"/>
        <charset val="134"/>
      </rPr>
      <t>流</t>
    </r>
    <r>
      <rPr>
        <b/>
        <sz val="18"/>
        <rFont val="Times New Roman"/>
        <charset val="134"/>
      </rPr>
      <t xml:space="preserve"> </t>
    </r>
    <r>
      <rPr>
        <b/>
        <sz val="18"/>
        <rFont val="宋体"/>
        <charset val="134"/>
      </rPr>
      <t>量</t>
    </r>
    <r>
      <rPr>
        <b/>
        <sz val="18"/>
        <rFont val="Times New Roman"/>
        <charset val="134"/>
      </rPr>
      <t xml:space="preserve"> </t>
    </r>
    <r>
      <rPr>
        <b/>
        <sz val="18"/>
        <rFont val="宋体"/>
        <charset val="134"/>
      </rPr>
      <t>表</t>
    </r>
  </si>
  <si>
    <t>单位:万元</t>
  </si>
  <si>
    <r>
      <rPr>
        <sz val="12"/>
        <rFont val="Times New Roman"/>
        <charset val="134"/>
      </rPr>
      <t xml:space="preserve">                                    </t>
    </r>
    <r>
      <rPr>
        <sz val="12"/>
        <rFont val="宋体"/>
        <charset val="134"/>
      </rPr>
      <t>年份
名称</t>
    </r>
  </si>
  <si>
    <t>经营活动净现金流量(1.1-1.2)</t>
  </si>
  <si>
    <t>现金流入</t>
  </si>
  <si>
    <t>增值税销项税额</t>
  </si>
  <si>
    <t>其他流入</t>
  </si>
  <si>
    <t>现金流出</t>
  </si>
  <si>
    <t>1.2.2</t>
  </si>
  <si>
    <t>增值税进项税额</t>
  </si>
  <si>
    <t>1.2.3</t>
  </si>
  <si>
    <t>1.2.4</t>
  </si>
  <si>
    <t>1.2.5</t>
  </si>
  <si>
    <t>1.2.6</t>
  </si>
  <si>
    <t>预提税</t>
  </si>
  <si>
    <t>1.2.7</t>
  </si>
  <si>
    <t>其他流出</t>
  </si>
  <si>
    <t>投资活动净现金流量(2.1-2.2)</t>
  </si>
  <si>
    <t>建设投资</t>
  </si>
  <si>
    <t>筹资活动净现金流量(3.1-3.2)</t>
  </si>
  <si>
    <t>3.1.1</t>
  </si>
  <si>
    <t>项目资本金投入</t>
  </si>
  <si>
    <t>3.1.2</t>
  </si>
  <si>
    <t>建设投资借款</t>
  </si>
  <si>
    <t>3.1.3</t>
  </si>
  <si>
    <t>3.1.4</t>
  </si>
  <si>
    <t>债券</t>
  </si>
  <si>
    <t>3.1.5</t>
  </si>
  <si>
    <t>3.1.6</t>
  </si>
  <si>
    <t>3.2.1</t>
  </si>
  <si>
    <t>各种利息支出</t>
  </si>
  <si>
    <t>3.2.2</t>
  </si>
  <si>
    <t>偿还债务本金</t>
  </si>
  <si>
    <t>3.2.3</t>
  </si>
  <si>
    <t>应付利润</t>
  </si>
  <si>
    <t>3.2.4</t>
  </si>
  <si>
    <t>净现金流量(1+2+3)</t>
  </si>
  <si>
    <r>
      <rPr>
        <b/>
        <sz val="18"/>
        <rFont val="宋体"/>
        <charset val="134"/>
      </rPr>
      <t>借</t>
    </r>
    <r>
      <rPr>
        <b/>
        <sz val="18"/>
        <rFont val="Times New Roman"/>
        <charset val="134"/>
      </rPr>
      <t xml:space="preserve"> </t>
    </r>
    <r>
      <rPr>
        <b/>
        <sz val="18"/>
        <rFont val="宋体"/>
        <charset val="134"/>
      </rPr>
      <t>款</t>
    </r>
    <r>
      <rPr>
        <b/>
        <sz val="18"/>
        <rFont val="Times New Roman"/>
        <charset val="134"/>
      </rPr>
      <t xml:space="preserve"> </t>
    </r>
    <r>
      <rPr>
        <b/>
        <sz val="18"/>
        <rFont val="宋体"/>
        <charset val="134"/>
      </rPr>
      <t>还 本 付 息</t>
    </r>
    <r>
      <rPr>
        <b/>
        <sz val="18"/>
        <rFont val="Times New Roman"/>
        <charset val="134"/>
      </rPr>
      <t xml:space="preserve"> </t>
    </r>
    <r>
      <rPr>
        <b/>
        <sz val="18"/>
        <rFont val="宋体"/>
        <charset val="134"/>
      </rPr>
      <t>计</t>
    </r>
    <r>
      <rPr>
        <b/>
        <sz val="18"/>
        <rFont val="Times New Roman"/>
        <charset val="134"/>
      </rPr>
      <t xml:space="preserve"> </t>
    </r>
    <r>
      <rPr>
        <b/>
        <sz val="18"/>
        <rFont val="宋体"/>
        <charset val="134"/>
      </rPr>
      <t>划</t>
    </r>
    <r>
      <rPr>
        <b/>
        <sz val="18"/>
        <rFont val="Times New Roman"/>
        <charset val="134"/>
      </rPr>
      <t xml:space="preserve"> </t>
    </r>
    <r>
      <rPr>
        <b/>
        <sz val="18"/>
        <rFont val="宋体"/>
        <charset val="134"/>
      </rPr>
      <t>表</t>
    </r>
  </si>
  <si>
    <r>
      <rPr>
        <sz val="12"/>
        <rFont val="Times New Roman"/>
        <charset val="134"/>
      </rPr>
      <t xml:space="preserve">                                           </t>
    </r>
    <r>
      <rPr>
        <sz val="12"/>
        <rFont val="宋体"/>
        <charset val="134"/>
      </rPr>
      <t>年份
名称</t>
    </r>
  </si>
  <si>
    <t>利率</t>
  </si>
  <si>
    <t>建设运营期</t>
  </si>
  <si>
    <t>原有借款</t>
  </si>
  <si>
    <t>期初借款余额</t>
  </si>
  <si>
    <t>当期还本付息</t>
  </si>
  <si>
    <t>其中：还本</t>
  </si>
  <si>
    <t xml:space="preserve">      付息</t>
  </si>
  <si>
    <t>期末借款余额</t>
  </si>
  <si>
    <t>新增长期借款</t>
  </si>
  <si>
    <t>流动资金借款累计</t>
  </si>
  <si>
    <t>流动资金利息</t>
  </si>
  <si>
    <t>偿还流动资金借款本金</t>
  </si>
  <si>
    <t>长期借款和债券合计</t>
  </si>
  <si>
    <t>期初余额</t>
  </si>
  <si>
    <r>
      <rPr>
        <sz val="12"/>
        <rFont val="Times New Roman"/>
        <charset val="134"/>
      </rPr>
      <t xml:space="preserve">           </t>
    </r>
    <r>
      <rPr>
        <sz val="12"/>
        <rFont val="宋体"/>
        <charset val="134"/>
      </rPr>
      <t>付息</t>
    </r>
  </si>
  <si>
    <t>期末余额</t>
  </si>
  <si>
    <t>利息备付率</t>
  </si>
  <si>
    <t xml:space="preserve">
Debt-Service Coverage Ratio：Debt Service ：DSCR 偿债备付率</t>
  </si>
  <si>
    <t>Debt Service Reserve Account, DSRA偿债准备金</t>
  </si>
  <si>
    <r>
      <rPr>
        <b/>
        <sz val="18"/>
        <rFont val="Times New Roman"/>
        <charset val="134"/>
      </rPr>
      <t xml:space="preserve"> </t>
    </r>
    <r>
      <rPr>
        <b/>
        <sz val="18"/>
        <rFont val="宋体"/>
        <charset val="134"/>
      </rPr>
      <t>财务分析辅助报表</t>
    </r>
    <r>
      <rPr>
        <b/>
        <sz val="18"/>
        <rFont val="Times New Roman"/>
        <charset val="134"/>
      </rPr>
      <t>3--</t>
    </r>
    <r>
      <rPr>
        <b/>
        <sz val="18"/>
        <rFont val="宋体"/>
        <charset val="134"/>
      </rPr>
      <t>项目总投</t>
    </r>
    <r>
      <rPr>
        <b/>
        <sz val="18"/>
        <rFont val="宋体"/>
        <charset val="134"/>
      </rPr>
      <t>资</t>
    </r>
    <r>
      <rPr>
        <b/>
        <sz val="18"/>
        <rFont val="宋体"/>
        <charset val="134"/>
      </rPr>
      <t>使</t>
    </r>
    <r>
      <rPr>
        <b/>
        <sz val="18"/>
        <rFont val="宋体"/>
        <charset val="134"/>
      </rPr>
      <t>用</t>
    </r>
    <r>
      <rPr>
        <b/>
        <sz val="18"/>
        <rFont val="宋体"/>
        <charset val="134"/>
      </rPr>
      <t>计</t>
    </r>
    <r>
      <rPr>
        <b/>
        <sz val="18"/>
        <rFont val="宋体"/>
        <charset val="134"/>
      </rPr>
      <t>划</t>
    </r>
    <r>
      <rPr>
        <b/>
        <sz val="18"/>
        <rFont val="宋体"/>
        <charset val="134"/>
      </rPr>
      <t>与</t>
    </r>
    <r>
      <rPr>
        <b/>
        <sz val="18"/>
        <rFont val="宋体"/>
        <charset val="134"/>
      </rPr>
      <t>资</t>
    </r>
    <r>
      <rPr>
        <b/>
        <sz val="18"/>
        <rFont val="宋体"/>
        <charset val="134"/>
      </rPr>
      <t>金</t>
    </r>
    <r>
      <rPr>
        <b/>
        <sz val="18"/>
        <rFont val="宋体"/>
        <charset val="134"/>
      </rPr>
      <t>筹</t>
    </r>
    <r>
      <rPr>
        <b/>
        <sz val="18"/>
        <rFont val="宋体"/>
        <charset val="134"/>
      </rPr>
      <t>措</t>
    </r>
    <r>
      <rPr>
        <b/>
        <sz val="18"/>
        <rFont val="宋体"/>
        <charset val="134"/>
      </rPr>
      <t>表</t>
    </r>
  </si>
  <si>
    <r>
      <rPr>
        <sz val="12"/>
        <rFont val="Times New Roman"/>
        <charset val="134"/>
      </rPr>
      <t>单位</t>
    </r>
    <r>
      <rPr>
        <sz val="12"/>
        <rFont val="Times New Roman"/>
        <charset val="134"/>
      </rPr>
      <t>:</t>
    </r>
    <r>
      <rPr>
        <sz val="12"/>
        <rFont val="宋体"/>
        <charset val="134"/>
      </rPr>
      <t>万元</t>
    </r>
  </si>
  <si>
    <r>
      <rPr>
        <sz val="12"/>
        <rFont val="Times New Roman"/>
        <charset val="134"/>
      </rPr>
      <t xml:space="preserve">            </t>
    </r>
    <r>
      <rPr>
        <sz val="12"/>
        <rFont val="宋体"/>
        <charset val="134"/>
      </rPr>
      <t>年份
名称</t>
    </r>
  </si>
  <si>
    <t>建设期</t>
  </si>
  <si>
    <t>总投资</t>
  </si>
  <si>
    <t>固定资产投资</t>
  </si>
  <si>
    <t>建设期利息(含流动资金利息)</t>
  </si>
  <si>
    <t>资金筹措</t>
  </si>
  <si>
    <t>其中：用于固定资产投资</t>
  </si>
  <si>
    <t>2.1.2</t>
  </si>
  <si>
    <t>用于流动资金</t>
  </si>
  <si>
    <t>2.1.3</t>
  </si>
  <si>
    <t>用于建设期利息</t>
  </si>
  <si>
    <t>债务资金</t>
  </si>
  <si>
    <t>其他资金</t>
  </si>
  <si>
    <r>
      <rPr>
        <b/>
        <sz val="18"/>
        <rFont val="Times New Roman"/>
        <charset val="134"/>
      </rPr>
      <t xml:space="preserve"> </t>
    </r>
    <r>
      <rPr>
        <b/>
        <sz val="18"/>
        <rFont val="宋体"/>
        <charset val="134"/>
      </rPr>
      <t>财务分析辅助报表</t>
    </r>
    <r>
      <rPr>
        <b/>
        <sz val="18"/>
        <rFont val="Times New Roman"/>
        <charset val="134"/>
      </rPr>
      <t>11----</t>
    </r>
    <r>
      <rPr>
        <b/>
        <sz val="18"/>
        <rFont val="宋体"/>
        <charset val="134"/>
      </rPr>
      <t>固</t>
    </r>
    <r>
      <rPr>
        <b/>
        <sz val="18"/>
        <rFont val="Times New Roman"/>
        <charset val="134"/>
      </rPr>
      <t xml:space="preserve"> </t>
    </r>
    <r>
      <rPr>
        <b/>
        <sz val="18"/>
        <rFont val="宋体"/>
        <charset val="134"/>
      </rPr>
      <t>定</t>
    </r>
    <r>
      <rPr>
        <b/>
        <sz val="18"/>
        <rFont val="Times New Roman"/>
        <charset val="134"/>
      </rPr>
      <t xml:space="preserve"> </t>
    </r>
    <r>
      <rPr>
        <b/>
        <sz val="18"/>
        <rFont val="宋体"/>
        <charset val="134"/>
      </rPr>
      <t>资</t>
    </r>
    <r>
      <rPr>
        <b/>
        <sz val="18"/>
        <rFont val="Times New Roman"/>
        <charset val="134"/>
      </rPr>
      <t xml:space="preserve"> </t>
    </r>
    <r>
      <rPr>
        <b/>
        <sz val="18"/>
        <rFont val="宋体"/>
        <charset val="134"/>
      </rPr>
      <t>产</t>
    </r>
    <r>
      <rPr>
        <b/>
        <sz val="18"/>
        <rFont val="Times New Roman"/>
        <charset val="134"/>
      </rPr>
      <t xml:space="preserve"> </t>
    </r>
    <r>
      <rPr>
        <b/>
        <sz val="18"/>
        <rFont val="宋体"/>
        <charset val="134"/>
      </rPr>
      <t>折</t>
    </r>
    <r>
      <rPr>
        <b/>
        <sz val="18"/>
        <rFont val="Times New Roman"/>
        <charset val="134"/>
      </rPr>
      <t xml:space="preserve"> </t>
    </r>
    <r>
      <rPr>
        <b/>
        <sz val="18"/>
        <rFont val="宋体"/>
        <charset val="134"/>
      </rPr>
      <t>旧</t>
    </r>
    <r>
      <rPr>
        <b/>
        <sz val="18"/>
        <rFont val="Times New Roman"/>
        <charset val="134"/>
      </rPr>
      <t xml:space="preserve"> </t>
    </r>
    <r>
      <rPr>
        <b/>
        <sz val="18"/>
        <rFont val="宋体"/>
        <charset val="134"/>
      </rPr>
      <t>费</t>
    </r>
    <r>
      <rPr>
        <b/>
        <sz val="18"/>
        <rFont val="Times New Roman"/>
        <charset val="134"/>
      </rPr>
      <t xml:space="preserve"> </t>
    </r>
    <r>
      <rPr>
        <b/>
        <sz val="18"/>
        <rFont val="宋体"/>
        <charset val="134"/>
      </rPr>
      <t>估</t>
    </r>
    <r>
      <rPr>
        <b/>
        <sz val="18"/>
        <rFont val="Times New Roman"/>
        <charset val="134"/>
      </rPr>
      <t xml:space="preserve"> </t>
    </r>
    <r>
      <rPr>
        <b/>
        <sz val="18"/>
        <rFont val="宋体"/>
        <charset val="134"/>
      </rPr>
      <t>算</t>
    </r>
    <r>
      <rPr>
        <b/>
        <sz val="18"/>
        <rFont val="Times New Roman"/>
        <charset val="134"/>
      </rPr>
      <t xml:space="preserve"> </t>
    </r>
    <r>
      <rPr>
        <b/>
        <sz val="18"/>
        <rFont val="宋体"/>
        <charset val="134"/>
      </rPr>
      <t>表</t>
    </r>
  </si>
  <si>
    <r>
      <rPr>
        <sz val="12"/>
        <rFont val="Times New Roman"/>
        <charset val="134"/>
      </rPr>
      <t xml:space="preserve">                   </t>
    </r>
    <r>
      <rPr>
        <sz val="12"/>
        <rFont val="宋体"/>
        <charset val="134"/>
      </rPr>
      <t>年份
名称</t>
    </r>
  </si>
  <si>
    <t>折旧率</t>
  </si>
  <si>
    <t>(%)</t>
  </si>
  <si>
    <t>固定资产折旧1</t>
  </si>
  <si>
    <t>本年折旧费</t>
  </si>
  <si>
    <t>净值</t>
  </si>
  <si>
    <t>固定资产折旧2</t>
  </si>
  <si>
    <t>固定资产合计</t>
  </si>
  <si>
    <t>残值</t>
  </si>
  <si>
    <t>折旧抵税</t>
  </si>
  <si>
    <r>
      <rPr>
        <sz val="12"/>
        <rFont val="宋体"/>
        <charset val="134"/>
      </rPr>
      <t>表</t>
    </r>
    <r>
      <rPr>
        <sz val="12"/>
        <rFont val="Times New Roman"/>
        <charset val="134"/>
      </rPr>
      <t>9-14</t>
    </r>
  </si>
  <si>
    <r>
      <rPr>
        <b/>
        <sz val="18"/>
        <rFont val="Times New Roman"/>
        <charset val="134"/>
      </rPr>
      <t xml:space="preserve"> </t>
    </r>
    <r>
      <rPr>
        <b/>
        <sz val="18"/>
        <rFont val="宋体"/>
        <charset val="134"/>
      </rPr>
      <t>财务分析辅助报表</t>
    </r>
    <r>
      <rPr>
        <b/>
        <sz val="18"/>
        <rFont val="Times New Roman"/>
        <charset val="134"/>
      </rPr>
      <t>12----</t>
    </r>
    <r>
      <rPr>
        <b/>
        <sz val="18"/>
        <rFont val="宋体"/>
        <charset val="134"/>
      </rPr>
      <t>无 形</t>
    </r>
    <r>
      <rPr>
        <b/>
        <sz val="18"/>
        <rFont val="Times New Roman"/>
        <charset val="134"/>
      </rPr>
      <t xml:space="preserve"> </t>
    </r>
    <r>
      <rPr>
        <b/>
        <sz val="18"/>
        <rFont val="宋体"/>
        <charset val="134"/>
      </rPr>
      <t>资</t>
    </r>
    <r>
      <rPr>
        <b/>
        <sz val="18"/>
        <rFont val="Times New Roman"/>
        <charset val="134"/>
      </rPr>
      <t xml:space="preserve"> </t>
    </r>
    <r>
      <rPr>
        <b/>
        <sz val="18"/>
        <rFont val="宋体"/>
        <charset val="134"/>
      </rPr>
      <t>产和其他资产摊销</t>
    </r>
    <r>
      <rPr>
        <b/>
        <sz val="18"/>
        <rFont val="Times New Roman"/>
        <charset val="134"/>
      </rPr>
      <t xml:space="preserve"> </t>
    </r>
    <r>
      <rPr>
        <b/>
        <sz val="18"/>
        <rFont val="宋体"/>
        <charset val="134"/>
      </rPr>
      <t>估</t>
    </r>
    <r>
      <rPr>
        <b/>
        <sz val="18"/>
        <rFont val="Times New Roman"/>
        <charset val="134"/>
      </rPr>
      <t xml:space="preserve"> </t>
    </r>
    <r>
      <rPr>
        <b/>
        <sz val="18"/>
        <rFont val="宋体"/>
        <charset val="134"/>
      </rPr>
      <t>算</t>
    </r>
    <r>
      <rPr>
        <b/>
        <sz val="18"/>
        <rFont val="Times New Roman"/>
        <charset val="134"/>
      </rPr>
      <t xml:space="preserve"> </t>
    </r>
    <r>
      <rPr>
        <b/>
        <sz val="18"/>
        <rFont val="宋体"/>
        <charset val="134"/>
      </rPr>
      <t>表</t>
    </r>
  </si>
  <si>
    <t>单位：万元</t>
  </si>
  <si>
    <r>
      <rPr>
        <sz val="12"/>
        <rFont val="Times New Roman"/>
        <charset val="134"/>
      </rPr>
      <t xml:space="preserve">                        </t>
    </r>
    <r>
      <rPr>
        <sz val="12"/>
        <rFont val="宋体"/>
        <charset val="134"/>
      </rPr>
      <t>年份</t>
    </r>
  </si>
  <si>
    <r>
      <rPr>
        <sz val="12"/>
        <rFont val="Times New Roman"/>
        <charset val="134"/>
      </rPr>
      <t>计</t>
    </r>
    <r>
      <rPr>
        <sz val="12"/>
        <rFont val="Times New Roman"/>
        <charset val="134"/>
      </rPr>
      <t xml:space="preserve">                                </t>
    </r>
    <r>
      <rPr>
        <sz val="12"/>
        <rFont val="宋体"/>
        <charset val="134"/>
      </rPr>
      <t>算</t>
    </r>
    <r>
      <rPr>
        <sz val="12"/>
        <rFont val="Times New Roman"/>
        <charset val="134"/>
      </rPr>
      <t xml:space="preserve">                                 </t>
    </r>
    <r>
      <rPr>
        <sz val="12"/>
        <rFont val="宋体"/>
        <charset val="134"/>
      </rPr>
      <t>期</t>
    </r>
  </si>
  <si>
    <t>名称</t>
  </si>
  <si>
    <t>无形资产</t>
  </si>
  <si>
    <t>本年摊销费</t>
  </si>
  <si>
    <t>其他资产</t>
  </si>
  <si>
    <t>数值/标准</t>
  </si>
  <si>
    <t>年标准运行小时数</t>
  </si>
  <si>
    <t>小时</t>
  </si>
  <si>
    <t>动态总投资</t>
  </si>
  <si>
    <t>包括支付给原始开发商的2000万元的前期开发成本</t>
  </si>
  <si>
    <t>年运行维护费用率</t>
  </si>
  <si>
    <t>元/度</t>
  </si>
  <si>
    <t>管理费用</t>
  </si>
  <si>
    <t>万元/年</t>
  </si>
  <si>
    <t>大修费用</t>
  </si>
  <si>
    <t>万元/5年</t>
  </si>
  <si>
    <t>按国家政策执行</t>
  </si>
  <si>
    <t>火电脱硫标杆电价</t>
  </si>
  <si>
    <t>火电脱硫标杆电价增长率</t>
  </si>
  <si>
    <t>增值税确认时间</t>
  </si>
  <si>
    <t>发电当期</t>
  </si>
  <si>
    <t>即征即退比例</t>
  </si>
  <si>
    <t>城建税税率</t>
  </si>
  <si>
    <t>年通货膨胀率</t>
  </si>
  <si>
    <t>年保险费率</t>
  </si>
  <si>
    <t>所得税优惠</t>
  </si>
  <si>
    <t>三免三减半</t>
  </si>
  <si>
    <t>项目建设期</t>
  </si>
  <si>
    <t>贷款利率</t>
  </si>
  <si>
    <t>贷款年数</t>
  </si>
  <si>
    <t>还款方式</t>
  </si>
  <si>
    <t>等额本息</t>
  </si>
  <si>
    <t>法定公积计提比例</t>
  </si>
  <si>
    <t>提取到注册资本50%后不再提取</t>
  </si>
  <si>
    <t>补贴收入结算周期</t>
  </si>
  <si>
    <t>季度</t>
  </si>
  <si>
    <t>补贴收入延迟支付</t>
  </si>
  <si>
    <t>补贴收入年数</t>
  </si>
  <si>
    <t>折旧方法</t>
  </si>
  <si>
    <t>直线折旧</t>
  </si>
  <si>
    <t>残值比例</t>
  </si>
  <si>
    <t>折旧年限</t>
  </si>
  <si>
    <t>限电比例</t>
  </si>
  <si>
    <t>以电网实际情况为准，双方协商确认</t>
  </si>
  <si>
    <t>现金流折现率**</t>
  </si>
  <si>
    <t>市场平均的 rWACC=7.83%,取值上浮10%</t>
  </si>
  <si>
    <r>
      <rPr>
        <sz val="14"/>
        <color rgb="FF18376A"/>
        <rFont val="DengXian"/>
        <charset val="134"/>
      </rPr>
      <t>**目前资本市场权益资本成本约为：</t>
    </r>
    <r>
      <rPr>
        <sz val="14"/>
        <color rgb="FF262626"/>
        <rFont val="Arial"/>
        <charset val="134"/>
      </rPr>
      <t>KE=4.42%+1.21*(18%-4.42%)=20.85%</t>
    </r>
    <r>
      <rPr>
        <sz val="14"/>
        <color rgb="FF262626"/>
        <rFont val="DengXian"/>
        <charset val="134"/>
      </rPr>
      <t>，</t>
    </r>
    <r>
      <rPr>
        <sz val="14"/>
        <color rgb="FF18376A"/>
        <rFont val="DengXian"/>
        <charset val="134"/>
      </rPr>
      <t>加权资本成本大约为：</t>
    </r>
    <r>
      <rPr>
        <sz val="14"/>
        <color rgb="FF18376A"/>
        <rFont val="Calibri"/>
        <charset val="134"/>
      </rPr>
      <t xml:space="preserve"> rWACC=0.2*20.85%+0.8*</t>
    </r>
    <r>
      <rPr>
        <sz val="14"/>
        <color rgb="FF262626"/>
        <rFont val="Arial"/>
        <charset val="134"/>
      </rPr>
      <t xml:space="preserve"> ×6.1%×(1-25%)=7.83%。这里进行上浮10%测算，取值为8.6%。</t>
    </r>
  </si>
  <si>
    <t>吉尔吉斯预提税率</t>
  </si>
  <si>
    <t>所得接收国</t>
  </si>
  <si>
    <t>股息(%)</t>
  </si>
  <si>
    <t>利息(%)</t>
  </si>
  <si>
    <t>特许权使用费(%)</t>
  </si>
  <si>
    <t>无税收协定：</t>
  </si>
  <si>
    <t>有税收协定:</t>
  </si>
  <si>
    <t>奥地利</t>
  </si>
  <si>
    <t>5/15</t>
  </si>
  <si>
    <t>白俄罗斯</t>
  </si>
  <si>
    <t>加拿大</t>
  </si>
  <si>
    <t>0/10</t>
  </si>
  <si>
    <t>中国</t>
  </si>
  <si>
    <t>爱沙尼亚</t>
  </si>
  <si>
    <t>5/10</t>
  </si>
  <si>
    <t>芬兰</t>
  </si>
  <si>
    <t>格鲁吉亚</t>
  </si>
  <si>
    <t>德国</t>
  </si>
  <si>
    <t>匈牙利</t>
  </si>
  <si>
    <t>0/5</t>
  </si>
  <si>
    <t>印度</t>
  </si>
  <si>
    <t>伊朗</t>
  </si>
  <si>
    <t>哈萨克斯坦</t>
  </si>
  <si>
    <t>韩国</t>
  </si>
  <si>
    <t>科威特</t>
  </si>
  <si>
    <t>拉脱维亚</t>
  </si>
  <si>
    <t>立陶宛</t>
  </si>
  <si>
    <t>马来西亚</t>
  </si>
  <si>
    <t>摩尔多瓦</t>
  </si>
  <si>
    <t>蒙古</t>
  </si>
  <si>
    <t>巴基斯坦</t>
  </si>
  <si>
    <t>波兰</t>
  </si>
  <si>
    <t>卡塔尔</t>
  </si>
  <si>
    <t>俄罗斯</t>
  </si>
  <si>
    <t>沙特阿拉伯</t>
  </si>
  <si>
    <t>瑞士</t>
  </si>
  <si>
    <t>塔吉克斯坦</t>
  </si>
  <si>
    <t>土耳其</t>
  </si>
  <si>
    <t>乌克兰</t>
  </si>
  <si>
    <t>阿拉伯联合酋长国</t>
  </si>
  <si>
    <t>英国</t>
  </si>
  <si>
    <t>乌兹别克斯坦</t>
  </si>
  <si>
    <t>土库曼斯坦</t>
  </si>
  <si>
    <t>捷克共和国</t>
  </si>
  <si>
    <t>亚美尼亚</t>
  </si>
</sst>
</file>

<file path=xl/styles.xml><?xml version="1.0" encoding="utf-8"?>
<styleSheet xmlns="http://schemas.openxmlformats.org/spreadsheetml/2006/main" xmlns:mc="http://schemas.openxmlformats.org/markup-compatibility/2006" xmlns:xr9="http://schemas.microsoft.com/office/spreadsheetml/2016/revision9" mc:Ignorable="xr9">
  <numFmts count="53">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0_);[Red]\(0\)"/>
    <numFmt numFmtId="181" formatCode="0_ "/>
    <numFmt numFmtId="182" formatCode="_ * #,##0_ ;_ * \-#,##0_ ;_ * &quot;-&quot;??_ ;_ @_ "/>
    <numFmt numFmtId="183" formatCode="0.0%"/>
    <numFmt numFmtId="184" formatCode="0.00_ "/>
    <numFmt numFmtId="185" formatCode="0.00000_ "/>
    <numFmt numFmtId="186" formatCode="0.0_);[Red]\(0.0\)"/>
    <numFmt numFmtId="187" formatCode="0.000_);[Red]\(0.000\)"/>
    <numFmt numFmtId="188" formatCode="0.00000_);[Red]\(0.00000\)"/>
    <numFmt numFmtId="189" formatCode="0.0000_);[Red]\(0.0000\)"/>
    <numFmt numFmtId="190" formatCode="0.0000_ "/>
    <numFmt numFmtId="191" formatCode="0.000_ "/>
    <numFmt numFmtId="192" formatCode="#,##0_ "/>
    <numFmt numFmtId="193" formatCode="0.00_);[Red]\(0.00\)"/>
    <numFmt numFmtId="194" formatCode="#,##0&quot;万元&quot;"/>
    <numFmt numFmtId="195" formatCode="0.00_ &quot;元/w&quot;"/>
    <numFmt numFmtId="196" formatCode="#,##0&quot; k yuan&quot;"/>
    <numFmt numFmtId="197" formatCode="0.00_ &quot;yuan/w&quot;"/>
    <numFmt numFmtId="198" formatCode="0.0000_ &quot;yuan/w&quot;"/>
    <numFmt numFmtId="199" formatCode="0.000_ &quot;yuan/w&quot;"/>
    <numFmt numFmtId="200" formatCode="0.0000_ &quot;元/w&quot;"/>
    <numFmt numFmtId="201" formatCode="0.000_ &quot;元/w&quot;"/>
    <numFmt numFmtId="202" formatCode="0.000"/>
    <numFmt numFmtId="203" formatCode="0.000000_ "/>
    <numFmt numFmtId="204" formatCode="0.000000000_ "/>
    <numFmt numFmtId="205" formatCode="&quot;CRP=&quot;0.0%"/>
    <numFmt numFmtId="206" formatCode="0.0"/>
    <numFmt numFmtId="207" formatCode="#,##0.0000000_ "/>
    <numFmt numFmtId="208" formatCode="#,##0.00_ "/>
    <numFmt numFmtId="209" formatCode="#,##0.0000_ "/>
    <numFmt numFmtId="210" formatCode="General&quot;元&quot;&quot;/kwh&quot;"/>
    <numFmt numFmtId="211" formatCode="&quot;第&quot;General&quot;年&quot;"/>
    <numFmt numFmtId="212" formatCode="General&quot;年&quot;"/>
    <numFmt numFmtId="213" formatCode="_ * #,##0.0000_ ;_ * \-#,##0.0000_ ;_ * &quot;-&quot;??.0000_ ;_ @_ "/>
    <numFmt numFmtId="214" formatCode="#,##0.00_ ;[Red]\-#,##0.00\ "/>
    <numFmt numFmtId="215" formatCode="\¥\ #,##0.00;[Red]\-\¥\ #,##0.00"/>
    <numFmt numFmtId="216" formatCode="#,##0_ ;[Red]\-#,##0\ "/>
    <numFmt numFmtId="217" formatCode="#,##0.00_ &quot;元/w&quot;"/>
    <numFmt numFmtId="218" formatCode="#,##0.0000_ &quot;元/w&quot;"/>
    <numFmt numFmtId="219" formatCode="#,##0.0"/>
    <numFmt numFmtId="220" formatCode="#,##0&quot;元/块&quot;"/>
    <numFmt numFmtId="221" formatCode="#,##0&quot;元/台&quot;"/>
    <numFmt numFmtId="222" formatCode="#,##0&quot;元/个&quot;"/>
    <numFmt numFmtId="223" formatCode="#,##0&quot;套&quot;"/>
    <numFmt numFmtId="224" formatCode="#,##0&quot;元/套&quot;"/>
    <numFmt numFmtId="225" formatCode="#,##0&quot;个&quot;"/>
    <numFmt numFmtId="226" formatCode="#,##0&quot;套并网箱&quot;"/>
    <numFmt numFmtId="227" formatCode="#,##0&quot;m&quot;"/>
    <numFmt numFmtId="228" formatCode="#,##0&quot;元/m&quot;"/>
  </numFmts>
  <fonts count="166">
    <font>
      <sz val="12"/>
      <name val="宋体"/>
      <charset val="134"/>
    </font>
    <font>
      <sz val="11"/>
      <color rgb="FF000000"/>
      <name val="Calibri"/>
      <charset val="134"/>
    </font>
    <font>
      <sz val="11"/>
      <color rgb="FF000000"/>
      <name val="宋体-简"/>
      <charset val="134"/>
    </font>
    <font>
      <sz val="14"/>
      <color theme="1"/>
      <name val="华文楷体"/>
      <charset val="134"/>
    </font>
    <font>
      <b/>
      <sz val="14"/>
      <color theme="1"/>
      <name val="华文楷体"/>
      <charset val="134"/>
    </font>
    <font>
      <sz val="14"/>
      <name val="宋体"/>
      <charset val="134"/>
    </font>
    <font>
      <sz val="14"/>
      <color rgb="FF18376A"/>
      <name val="DengXian"/>
      <charset val="134"/>
    </font>
    <font>
      <sz val="12"/>
      <name val="Times New Roman"/>
      <charset val="134"/>
    </font>
    <font>
      <b/>
      <sz val="18"/>
      <name val="Times New Roman"/>
      <charset val="134"/>
    </font>
    <font>
      <b/>
      <sz val="12"/>
      <name val="宋体"/>
      <charset val="134"/>
    </font>
    <font>
      <b/>
      <sz val="12"/>
      <name val="Times New Roman"/>
      <charset val="134"/>
    </font>
    <font>
      <sz val="12"/>
      <name val="方正书宋_GBK"/>
      <charset val="134"/>
    </font>
    <font>
      <sz val="12"/>
      <color theme="1"/>
      <name val="Times New Roman"/>
      <charset val="134"/>
    </font>
    <font>
      <sz val="12"/>
      <color indexed="12"/>
      <name val="Times New Roman"/>
      <charset val="134"/>
    </font>
    <font>
      <sz val="12"/>
      <name val="宋体-简"/>
      <charset val="134"/>
    </font>
    <font>
      <b/>
      <sz val="18"/>
      <name val="宋体"/>
      <charset val="134"/>
    </font>
    <font>
      <sz val="12"/>
      <color indexed="8"/>
      <name val="Times New Roman"/>
      <charset val="134"/>
    </font>
    <font>
      <sz val="12"/>
      <color indexed="8"/>
      <name val="宋体"/>
      <charset val="134"/>
    </font>
    <font>
      <b/>
      <sz val="16"/>
      <name val="宋体"/>
      <charset val="134"/>
    </font>
    <font>
      <sz val="10"/>
      <name val="宋体-简"/>
      <charset val="134"/>
    </font>
    <font>
      <sz val="11"/>
      <name val="宋体"/>
      <charset val="134"/>
    </font>
    <font>
      <sz val="11"/>
      <name val="宋体-简"/>
      <charset val="134"/>
    </font>
    <font>
      <sz val="12"/>
      <name val="Times New Roman Regular"/>
      <charset val="134"/>
    </font>
    <font>
      <sz val="11"/>
      <name val="Times New Roman Regular"/>
      <charset val="134"/>
    </font>
    <font>
      <b/>
      <sz val="11"/>
      <name val="宋体"/>
      <charset val="134"/>
    </font>
    <font>
      <b/>
      <sz val="12"/>
      <color rgb="FFFF0000"/>
      <name val="Times New Roman Regular"/>
      <charset val="134"/>
    </font>
    <font>
      <b/>
      <sz val="14"/>
      <color theme="0"/>
      <name val="宋体"/>
      <charset val="134"/>
    </font>
    <font>
      <sz val="10.5"/>
      <name val="黑体"/>
      <charset val="134"/>
    </font>
    <font>
      <b/>
      <sz val="12"/>
      <color theme="0"/>
      <name val="宋体"/>
      <charset val="134"/>
    </font>
    <font>
      <sz val="10"/>
      <name val="宋体"/>
      <charset val="134"/>
    </font>
    <font>
      <sz val="11"/>
      <color theme="4"/>
      <name val="Times New Roman Regular"/>
      <charset val="134"/>
    </font>
    <font>
      <sz val="12"/>
      <color rgb="FFFF0000"/>
      <name val="Times New Roman Regular"/>
      <charset val="134"/>
    </font>
    <font>
      <sz val="12"/>
      <color theme="0"/>
      <name val="宋体"/>
      <charset val="134"/>
    </font>
    <font>
      <sz val="12"/>
      <name val="SimSun"/>
      <charset val="134"/>
    </font>
    <font>
      <sz val="16"/>
      <color theme="0"/>
      <name val="宋体"/>
      <charset val="134"/>
    </font>
    <font>
      <sz val="9"/>
      <color indexed="8"/>
      <name val="宋体"/>
      <charset val="134"/>
    </font>
    <font>
      <b/>
      <sz val="9"/>
      <color indexed="8"/>
      <name val="宋体"/>
      <charset val="134"/>
    </font>
    <font>
      <sz val="11"/>
      <name val="等线"/>
      <charset val="134"/>
    </font>
    <font>
      <b/>
      <sz val="12"/>
      <color indexed="8"/>
      <name val="宋体"/>
      <charset val="134"/>
    </font>
    <font>
      <sz val="9"/>
      <color rgb="FFFF0000"/>
      <name val="宋体"/>
      <charset val="134"/>
    </font>
    <font>
      <sz val="9"/>
      <name val="宋体"/>
      <charset val="134"/>
    </font>
    <font>
      <sz val="9"/>
      <color rgb="FF000000"/>
      <name val="SimSun"/>
      <charset val="134"/>
    </font>
    <font>
      <b/>
      <sz val="9"/>
      <color rgb="FFFF0000"/>
      <name val="宋体"/>
      <charset val="134"/>
    </font>
    <font>
      <b/>
      <sz val="8"/>
      <name val="宋体"/>
      <charset val="134"/>
    </font>
    <font>
      <b/>
      <sz val="14"/>
      <name val="宋体"/>
      <charset val="134"/>
    </font>
    <font>
      <b/>
      <sz val="10.5"/>
      <name val="华文仿宋"/>
      <charset val="134"/>
    </font>
    <font>
      <b/>
      <sz val="10.5"/>
      <name val="Calibri"/>
      <charset val="134"/>
    </font>
    <font>
      <b/>
      <sz val="10"/>
      <name val="华文仿宋"/>
      <charset val="134"/>
    </font>
    <font>
      <b/>
      <sz val="10"/>
      <name val="Calibri"/>
      <charset val="134"/>
    </font>
    <font>
      <b/>
      <sz val="12"/>
      <color rgb="FF000000"/>
      <name val="Times New Roman"/>
      <charset val="134"/>
    </font>
    <font>
      <b/>
      <sz val="12"/>
      <color rgb="FFFF0000"/>
      <name val="新細明體"/>
      <charset val="134"/>
      <scheme val="minor"/>
    </font>
    <font>
      <b/>
      <sz val="12"/>
      <color rgb="FFFF0000"/>
      <name val="宋体"/>
      <charset val="134"/>
    </font>
    <font>
      <b/>
      <sz val="14"/>
      <color theme="1"/>
      <name val="新細明體"/>
      <charset val="134"/>
      <scheme val="minor"/>
    </font>
    <font>
      <b/>
      <sz val="11"/>
      <color rgb="FFFF0000"/>
      <name val="新細明體"/>
      <charset val="134"/>
      <scheme val="minor"/>
    </font>
    <font>
      <b/>
      <sz val="11"/>
      <name val="新細明體"/>
      <charset val="134"/>
      <scheme val="minor"/>
    </font>
    <font>
      <b/>
      <sz val="11"/>
      <color theme="1"/>
      <name val="新細明體"/>
      <charset val="134"/>
      <scheme val="minor"/>
    </font>
    <font>
      <sz val="11"/>
      <color theme="1"/>
      <name val="新細明體"/>
      <charset val="134"/>
      <scheme val="minor"/>
    </font>
    <font>
      <b/>
      <sz val="14"/>
      <color rgb="FFC00000"/>
      <name val="新細明體"/>
      <charset val="134"/>
      <scheme val="minor"/>
    </font>
    <font>
      <sz val="11"/>
      <color theme="1"/>
      <name val="新細明體"/>
      <charset val="134"/>
      <scheme val="minor"/>
    </font>
    <font>
      <b/>
      <sz val="12"/>
      <name val="新細明體"/>
      <charset val="134"/>
      <scheme val="minor"/>
    </font>
    <font>
      <b/>
      <sz val="14"/>
      <name val="新細明體"/>
      <charset val="134"/>
      <scheme val="minor"/>
    </font>
    <font>
      <b/>
      <sz val="10"/>
      <name val="新細明體"/>
      <charset val="134"/>
      <scheme val="minor"/>
    </font>
    <font>
      <sz val="11"/>
      <color rgb="FFC00000"/>
      <name val="新細明體"/>
      <charset val="134"/>
      <scheme val="minor"/>
    </font>
    <font>
      <b/>
      <sz val="11"/>
      <color rgb="FFFFFFFF"/>
      <name val="新細明體"/>
      <charset val="134"/>
      <scheme val="minor"/>
    </font>
    <font>
      <i/>
      <sz val="11"/>
      <color rgb="FF808080"/>
      <name val="新細明體"/>
      <charset val="134"/>
      <scheme val="minor"/>
    </font>
    <font>
      <b/>
      <sz val="8"/>
      <name val="Times New Roman Regular"/>
      <charset val="134"/>
    </font>
    <font>
      <b/>
      <sz val="9"/>
      <name val="宋体-简"/>
      <charset val="134"/>
    </font>
    <font>
      <b/>
      <sz val="9"/>
      <name val="宋体"/>
      <charset val="134"/>
    </font>
    <font>
      <b/>
      <sz val="10"/>
      <name val="宋体"/>
      <charset val="134"/>
    </font>
    <font>
      <b/>
      <sz val="9"/>
      <name val="Times New Roman Regular"/>
      <charset val="134"/>
    </font>
    <font>
      <b/>
      <sz val="11"/>
      <color rgb="FFFF0000"/>
      <name val="Times New Roman Regular"/>
      <charset val="134"/>
    </font>
    <font>
      <sz val="10"/>
      <name val="Times New Roman Regular"/>
      <charset val="134"/>
    </font>
    <font>
      <b/>
      <sz val="10"/>
      <color rgb="FFFF0000"/>
      <name val="Times New Roman Regular"/>
      <charset val="134"/>
    </font>
    <font>
      <sz val="11"/>
      <color rgb="FFFF0000"/>
      <name val="Times New Roman Regular"/>
      <charset val="134"/>
    </font>
    <font>
      <b/>
      <sz val="10"/>
      <name val="Times New Roman Regular"/>
      <charset val="134"/>
    </font>
    <font>
      <b/>
      <sz val="14"/>
      <color rgb="FFFF0000"/>
      <name val="宋体"/>
      <charset val="134"/>
    </font>
    <font>
      <b/>
      <sz val="12"/>
      <name val="宋体-简"/>
      <charset val="134"/>
    </font>
    <font>
      <b/>
      <sz val="8"/>
      <name val="宋体-简"/>
      <charset val="134"/>
    </font>
    <font>
      <b/>
      <sz val="14"/>
      <name val="Times New Roman Regular"/>
      <charset val="134"/>
    </font>
    <font>
      <b/>
      <sz val="10"/>
      <color rgb="FFFF0000"/>
      <name val="宋体"/>
      <charset val="134"/>
    </font>
    <font>
      <sz val="9"/>
      <name val="宋体-简"/>
      <charset val="134"/>
    </font>
    <font>
      <sz val="10"/>
      <color rgb="FFFF0000"/>
      <name val="Times New Roman Regular"/>
      <charset val="134"/>
    </font>
    <font>
      <b/>
      <sz val="12"/>
      <name val="Times New Roman Regular"/>
      <charset val="134"/>
    </font>
    <font>
      <b/>
      <sz val="11"/>
      <name val="Times New Roman Regular"/>
      <charset val="134"/>
    </font>
    <font>
      <b/>
      <sz val="10"/>
      <name val="宋体-简"/>
      <charset val="134"/>
    </font>
    <font>
      <sz val="8"/>
      <name val="宋体-简"/>
      <charset val="134"/>
    </font>
    <font>
      <sz val="9"/>
      <name val="Times New Roman Regular"/>
      <charset val="134"/>
    </font>
    <font>
      <b/>
      <sz val="11"/>
      <name val="宋体-简"/>
      <charset val="134"/>
    </font>
    <font>
      <sz val="8"/>
      <name val="宋体"/>
      <charset val="134"/>
    </font>
    <font>
      <sz val="10"/>
      <name val="Times New Roman"/>
      <charset val="134"/>
    </font>
    <font>
      <b/>
      <sz val="10"/>
      <name val="Times New Roman"/>
      <charset val="134"/>
    </font>
    <font>
      <sz val="10.5"/>
      <color rgb="FF1D1D1D"/>
      <name val="Helvetica Neue"/>
      <charset val="134"/>
    </font>
    <font>
      <sz val="12"/>
      <color theme="1"/>
      <name val="宋体"/>
      <charset val="134"/>
    </font>
    <font>
      <sz val="12"/>
      <color theme="1"/>
      <name val="宋体-简"/>
      <charset val="134"/>
    </font>
    <font>
      <sz val="9"/>
      <name val="Times New Roman"/>
      <charset val="134"/>
    </font>
    <font>
      <sz val="12"/>
      <color theme="1"/>
      <name val="方正书宋_GBK"/>
      <charset val="134"/>
    </font>
    <font>
      <b/>
      <sz val="10"/>
      <color indexed="8"/>
      <name val="宋体"/>
      <charset val="134"/>
    </font>
    <font>
      <sz val="10"/>
      <color indexed="8"/>
      <name val="宋体"/>
      <charset val="134"/>
    </font>
    <font>
      <sz val="10"/>
      <color rgb="FFFF0000"/>
      <name val="宋体"/>
      <charset val="134"/>
    </font>
    <font>
      <sz val="14"/>
      <color rgb="FFFF0000"/>
      <name val="Songti SC Regular"/>
      <charset val="134"/>
    </font>
    <font>
      <b/>
      <sz val="13"/>
      <color rgb="FF000000"/>
      <name val="Songti SC Regular"/>
      <charset val="134"/>
    </font>
    <font>
      <b/>
      <sz val="13"/>
      <color rgb="FF000000"/>
      <name val="Times New Roman Regular"/>
      <charset val="134"/>
    </font>
    <font>
      <sz val="11"/>
      <color rgb="FF000000"/>
      <name val="Times New Roman Regular"/>
      <charset val="134"/>
    </font>
    <font>
      <sz val="11"/>
      <color rgb="FF000000"/>
      <name val="Songti SC Regular"/>
      <charset val="134"/>
    </font>
    <font>
      <sz val="14"/>
      <color theme="0"/>
      <name val="宋体-简"/>
      <charset val="134"/>
    </font>
    <font>
      <sz val="14"/>
      <color theme="0"/>
      <name val="Songti SC Regular"/>
      <charset val="134"/>
    </font>
    <font>
      <sz val="14"/>
      <color theme="0"/>
      <name val="Times New Roman Regular"/>
      <charset val="134"/>
    </font>
    <font>
      <sz val="10.5"/>
      <color rgb="FF131313"/>
      <name val="宋体"/>
      <charset val="134"/>
    </font>
    <font>
      <sz val="11"/>
      <color rgb="FF1F2937"/>
      <name val="宋体"/>
      <charset val="134"/>
    </font>
    <font>
      <sz val="13.5"/>
      <color rgb="FF1F2937"/>
      <name val="Arial"/>
      <charset val="134"/>
    </font>
    <font>
      <sz val="10.5"/>
      <color rgb="FF000000"/>
      <name val="宋体"/>
      <charset val="134"/>
    </font>
    <font>
      <sz val="10.5"/>
      <color rgb="FF000000"/>
      <name val="Times New Roman"/>
      <charset val="134"/>
    </font>
    <font>
      <b/>
      <sz val="13.5"/>
      <color rgb="FF131313"/>
      <name val="宋体"/>
      <charset val="134"/>
    </font>
    <font>
      <b/>
      <sz val="10.5"/>
      <color rgb="FF131313"/>
      <name val="Arial"/>
      <charset val="134"/>
    </font>
    <font>
      <sz val="10.5"/>
      <color rgb="FF131313"/>
      <name val="Arial"/>
      <charset val="134"/>
    </font>
    <font>
      <b/>
      <sz val="13.5"/>
      <color rgb="FF131313"/>
      <name val="Arial"/>
      <charset val="134"/>
    </font>
    <font>
      <sz val="16"/>
      <name val="宋体"/>
      <charset val="134"/>
    </font>
    <font>
      <b/>
      <sz val="10"/>
      <color rgb="FF000000"/>
      <name val="宋体"/>
      <charset val="134"/>
    </font>
    <font>
      <sz val="11"/>
      <color rgb="FFFF0000"/>
      <name val="宋体"/>
      <charset val="134"/>
    </font>
    <font>
      <sz val="11"/>
      <color rgb="FF000000"/>
      <name val="宋体"/>
      <charset val="134"/>
    </font>
    <font>
      <sz val="11"/>
      <color rgb="FFFF0000"/>
      <name val="汉仪书宋二KW"/>
      <charset val="134"/>
    </font>
    <font>
      <sz val="11"/>
      <color rgb="FFFF0000"/>
      <name val="Times New Roman"/>
      <charset val="134"/>
    </font>
    <font>
      <sz val="11"/>
      <color rgb="FF000000"/>
      <name val="Times New Roman"/>
      <charset val="134"/>
    </font>
    <font>
      <sz val="11"/>
      <color rgb="FF000000"/>
      <name val="汉仪书宋二KW"/>
      <charset val="134"/>
    </font>
    <font>
      <sz val="10.5"/>
      <name val="Calibri"/>
      <charset val="134"/>
    </font>
    <font>
      <sz val="14"/>
      <color theme="1"/>
      <name val="新細明體"/>
      <charset val="134"/>
      <scheme val="minor"/>
    </font>
    <font>
      <sz val="11"/>
      <color theme="0"/>
      <name val="新細明體"/>
      <charset val="134"/>
      <scheme val="minor"/>
    </font>
    <font>
      <sz val="11"/>
      <name val="新細明體"/>
      <charset val="134"/>
      <scheme val="minor"/>
    </font>
    <font>
      <sz val="12"/>
      <color theme="1"/>
      <name val="新細明體"/>
      <charset val="134"/>
      <scheme val="minor"/>
    </font>
    <font>
      <u/>
      <sz val="12"/>
      <color theme="10"/>
      <name val="宋体"/>
      <charset val="134"/>
    </font>
    <font>
      <u/>
      <sz val="11"/>
      <color rgb="FF800080"/>
      <name val="新細明體"/>
      <charset val="0"/>
      <scheme val="minor"/>
    </font>
    <font>
      <sz val="11"/>
      <color rgb="FFFF0000"/>
      <name val="新細明體"/>
      <charset val="0"/>
      <scheme val="minor"/>
    </font>
    <font>
      <b/>
      <sz val="18"/>
      <color theme="3"/>
      <name val="新細明體"/>
      <charset val="134"/>
      <scheme val="minor"/>
    </font>
    <font>
      <i/>
      <sz val="11"/>
      <color rgb="FF7F7F7F"/>
      <name val="新細明體"/>
      <charset val="0"/>
      <scheme val="minor"/>
    </font>
    <font>
      <b/>
      <sz val="15"/>
      <color theme="3"/>
      <name val="新細明體"/>
      <charset val="134"/>
      <scheme val="minor"/>
    </font>
    <font>
      <b/>
      <sz val="13"/>
      <color theme="3"/>
      <name val="新細明體"/>
      <charset val="134"/>
      <scheme val="minor"/>
    </font>
    <font>
      <b/>
      <sz val="11"/>
      <color theme="3"/>
      <name val="新細明體"/>
      <charset val="134"/>
      <scheme val="minor"/>
    </font>
    <font>
      <sz val="11"/>
      <color rgb="FF3F3F76"/>
      <name val="新細明體"/>
      <charset val="0"/>
      <scheme val="minor"/>
    </font>
    <font>
      <b/>
      <sz val="11"/>
      <color rgb="FF3F3F3F"/>
      <name val="新細明體"/>
      <charset val="0"/>
      <scheme val="minor"/>
    </font>
    <font>
      <b/>
      <sz val="11"/>
      <color rgb="FFFA7D00"/>
      <name val="新細明體"/>
      <charset val="0"/>
      <scheme val="minor"/>
    </font>
    <font>
      <b/>
      <sz val="11"/>
      <color rgb="FFFFFFFF"/>
      <name val="新細明體"/>
      <charset val="0"/>
      <scheme val="minor"/>
    </font>
    <font>
      <sz val="11"/>
      <color rgb="FFFA7D00"/>
      <name val="新細明體"/>
      <charset val="0"/>
      <scheme val="minor"/>
    </font>
    <font>
      <b/>
      <sz val="11"/>
      <color theme="1"/>
      <name val="新細明體"/>
      <charset val="0"/>
      <scheme val="minor"/>
    </font>
    <font>
      <sz val="11"/>
      <color rgb="FF006100"/>
      <name val="新細明體"/>
      <charset val="0"/>
      <scheme val="minor"/>
    </font>
    <font>
      <sz val="11"/>
      <color rgb="FF9C0006"/>
      <name val="新細明體"/>
      <charset val="0"/>
      <scheme val="minor"/>
    </font>
    <font>
      <sz val="11"/>
      <color rgb="FF9C6500"/>
      <name val="新細明體"/>
      <charset val="0"/>
      <scheme val="minor"/>
    </font>
    <font>
      <sz val="11"/>
      <color theme="0"/>
      <name val="新細明體"/>
      <charset val="0"/>
      <scheme val="minor"/>
    </font>
    <font>
      <sz val="11"/>
      <color theme="1"/>
      <name val="新細明體"/>
      <charset val="0"/>
      <scheme val="minor"/>
    </font>
    <font>
      <sz val="11"/>
      <color indexed="8"/>
      <name val="宋体"/>
      <charset val="134"/>
    </font>
    <font>
      <sz val="14"/>
      <color rgb="FFFF0000"/>
      <name val="Palatino Regular"/>
      <charset val="134"/>
    </font>
    <font>
      <sz val="8"/>
      <name val="Times New Roman Regular"/>
      <charset val="134"/>
    </font>
    <font>
      <b/>
      <sz val="11"/>
      <color rgb="FFFF0000"/>
      <name val="宋体"/>
      <charset val="134"/>
    </font>
    <font>
      <b/>
      <sz val="10.5"/>
      <color rgb="FF131313"/>
      <name val="宋体"/>
      <charset val="134"/>
    </font>
    <font>
      <b/>
      <sz val="11"/>
      <color rgb="FF000000"/>
      <name val="宋体"/>
      <charset val="134"/>
    </font>
    <font>
      <b/>
      <sz val="8"/>
      <color rgb="FFFF0000"/>
      <name val="宋体"/>
      <charset val="134"/>
    </font>
    <font>
      <b/>
      <sz val="8"/>
      <color theme="6"/>
      <name val="宋体"/>
      <charset val="134"/>
    </font>
    <font>
      <b/>
      <sz val="11"/>
      <color rgb="FFFFC000"/>
      <name val="宋体"/>
      <charset val="134"/>
    </font>
    <font>
      <b/>
      <sz val="11"/>
      <color rgb="FF00B050"/>
      <name val="宋体"/>
      <charset val="134"/>
    </font>
    <font>
      <b/>
      <sz val="10"/>
      <color theme="9"/>
      <name val="宋体"/>
      <charset val="134"/>
    </font>
    <font>
      <b/>
      <sz val="10"/>
      <color rgb="FF00B050"/>
      <name val="宋体"/>
      <charset val="134"/>
    </font>
    <font>
      <sz val="14"/>
      <color rgb="FF262626"/>
      <name val="Arial"/>
      <charset val="134"/>
    </font>
    <font>
      <sz val="14"/>
      <color rgb="FF262626"/>
      <name val="DengXian"/>
      <charset val="134"/>
    </font>
    <font>
      <sz val="14"/>
      <color rgb="FF18376A"/>
      <name val="Calibri"/>
      <charset val="134"/>
    </font>
    <font>
      <sz val="12"/>
      <color rgb="FFFF0000"/>
      <name val="宋体"/>
      <charset val="134"/>
    </font>
    <font>
      <b/>
      <sz val="9"/>
      <color rgb="FFFF0000"/>
      <name val="Times New Roman Regular"/>
      <charset val="134"/>
    </font>
    <font>
      <b/>
      <sz val="9"/>
      <color rgb="FFFF0000"/>
      <name val="宋体-简"/>
      <charset val="134"/>
    </font>
  </fonts>
  <fills count="55">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theme="6" tint="0.6"/>
        <bgColor indexed="64"/>
      </patternFill>
    </fill>
    <fill>
      <patternFill patternType="solid">
        <fgColor rgb="FF00B0F0"/>
        <bgColor indexed="64"/>
      </patternFill>
    </fill>
    <fill>
      <patternFill patternType="solid">
        <fgColor theme="4" tint="0.8"/>
        <bgColor indexed="64"/>
      </patternFill>
    </fill>
    <fill>
      <patternFill patternType="solid">
        <fgColor rgb="FFFFFF00"/>
        <bgColor indexed="64"/>
      </patternFill>
    </fill>
    <fill>
      <patternFill patternType="solid">
        <fgColor theme="9"/>
        <bgColor indexed="64"/>
      </patternFill>
    </fill>
    <fill>
      <patternFill patternType="solid">
        <fgColor rgb="FF92D050"/>
        <bgColor indexed="64"/>
      </patternFill>
    </fill>
    <fill>
      <patternFill patternType="solid">
        <fgColor rgb="FFF1F1F1"/>
        <bgColor indexed="64"/>
      </patternFill>
    </fill>
    <fill>
      <patternFill patternType="solid">
        <fgColor rgb="FFFFF2CC"/>
        <bgColor indexed="64"/>
      </patternFill>
    </fill>
    <fill>
      <patternFill patternType="solid">
        <fgColor rgb="FF4472C4"/>
        <bgColor indexed="64"/>
      </patternFill>
    </fill>
    <fill>
      <patternFill patternType="solid">
        <fgColor rgb="FFC6E0B4"/>
        <bgColor indexed="64"/>
      </patternFill>
    </fill>
    <fill>
      <patternFill patternType="solid">
        <fgColor rgb="FFD9D9D9"/>
        <bgColor indexed="64"/>
      </patternFill>
    </fill>
    <fill>
      <patternFill patternType="solid">
        <fgColor rgb="FFFFC000"/>
        <bgColor indexed="64"/>
      </patternFill>
    </fill>
    <fill>
      <patternFill patternType="solid">
        <fgColor indexed="9"/>
        <bgColor indexed="64"/>
      </patternFill>
    </fill>
    <fill>
      <patternFill patternType="solid">
        <fgColor theme="2" tint="-0.1"/>
        <bgColor indexed="64"/>
      </patternFill>
    </fill>
    <fill>
      <patternFill patternType="solid">
        <fgColor theme="4" tint="0.6"/>
        <bgColor indexed="64"/>
      </patternFill>
    </fill>
    <fill>
      <patternFill patternType="solid">
        <fgColor theme="2"/>
        <bgColor indexed="64"/>
      </patternFill>
    </fill>
    <fill>
      <patternFill patternType="solid">
        <fgColor theme="1"/>
        <bgColor indexed="64"/>
      </patternFill>
    </fill>
    <fill>
      <patternFill patternType="solid">
        <fgColor rgb="FFFAFAFA"/>
        <bgColor indexed="64"/>
      </patternFill>
    </fill>
    <fill>
      <patternFill patternType="solid">
        <fgColor rgb="FFF9FAFB"/>
        <bgColor indexed="64"/>
      </patternFill>
    </fill>
    <fill>
      <patternFill patternType="solid">
        <fgColor rgb="FFFF0000"/>
        <bgColor indexed="64"/>
      </patternFill>
    </fill>
    <fill>
      <patternFill patternType="solid">
        <fgColor rgb="FFD7D7D7"/>
        <bgColor indexed="64"/>
      </patternFill>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diagonalDown="1">
      <left style="thin">
        <color auto="1"/>
      </left>
      <right style="thin">
        <color auto="1"/>
      </right>
      <top style="thin">
        <color auto="1"/>
      </top>
      <bottom/>
      <diagonal style="thin">
        <color auto="1"/>
      </diagonal>
    </border>
    <border diagonalDown="1">
      <left style="thin">
        <color auto="1"/>
      </left>
      <right style="thin">
        <color auto="1"/>
      </right>
      <top/>
      <bottom style="thin">
        <color auto="1"/>
      </bottom>
      <diagonal style="thin">
        <color auto="1"/>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right style="medium">
        <color auto="1"/>
      </right>
      <top/>
      <bottom style="medium">
        <color auto="1"/>
      </bottom>
      <diagonal/>
    </border>
    <border>
      <left style="medium">
        <color rgb="FF000000"/>
      </left>
      <right style="medium">
        <color rgb="FF000000"/>
      </right>
      <top/>
      <bottom/>
      <diagonal/>
    </border>
    <border>
      <left/>
      <right style="medium">
        <color rgb="FF000000"/>
      </right>
      <top/>
      <bottom style="medium">
        <color auto="1"/>
      </bottom>
      <diagonal/>
    </border>
    <border>
      <left/>
      <right style="medium">
        <color rgb="FF000000"/>
      </right>
      <top style="medium">
        <color rgb="FF000000"/>
      </top>
      <bottom style="medium">
        <color auto="1"/>
      </bottom>
      <diagonal/>
    </border>
    <border>
      <left style="medium">
        <color auto="1"/>
      </left>
      <right style="medium">
        <color auto="1"/>
      </right>
      <top/>
      <bottom style="medium">
        <color auto="1"/>
      </bottom>
      <diagonal/>
    </border>
    <border>
      <left style="thin">
        <color rgb="FFBFBFBF"/>
      </left>
      <right style="thin">
        <color rgb="FFBFBFBF"/>
      </right>
      <top style="thin">
        <color rgb="FFBFBFBF"/>
      </top>
      <bottom style="thin">
        <color rgb="FFBFBFBF"/>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style="double">
        <color auto="1"/>
      </left>
      <right/>
      <top style="double">
        <color auto="1"/>
      </top>
      <bottom style="medium">
        <color auto="1"/>
      </bottom>
      <diagonal/>
    </border>
    <border>
      <left/>
      <right/>
      <top style="double">
        <color auto="1"/>
      </top>
      <bottom style="medium">
        <color auto="1"/>
      </bottom>
      <diagonal/>
    </border>
    <border>
      <left/>
      <right style="double">
        <color auto="1"/>
      </right>
      <top style="double">
        <color auto="1"/>
      </top>
      <bottom style="medium">
        <color auto="1"/>
      </bottom>
      <diagonal/>
    </border>
    <border>
      <left style="double">
        <color auto="1"/>
      </left>
      <right style="medium">
        <color auto="1"/>
      </right>
      <top style="double">
        <color auto="1"/>
      </top>
      <bottom style="medium">
        <color auto="1"/>
      </bottom>
      <diagonal/>
    </border>
    <border>
      <left style="medium">
        <color auto="1"/>
      </left>
      <right style="medium">
        <color auto="1"/>
      </right>
      <top style="double">
        <color auto="1"/>
      </top>
      <bottom style="medium">
        <color auto="1"/>
      </bottom>
      <diagonal/>
    </border>
    <border>
      <left style="medium">
        <color auto="1"/>
      </left>
      <right style="double">
        <color auto="1"/>
      </right>
      <top style="double">
        <color auto="1"/>
      </top>
      <bottom style="medium">
        <color auto="1"/>
      </bottom>
      <diagonal/>
    </border>
    <border>
      <left style="medium">
        <color auto="1"/>
      </left>
      <right/>
      <top/>
      <bottom/>
      <diagonal/>
    </border>
    <border>
      <left style="medium">
        <color auto="1"/>
      </left>
      <right style="medium">
        <color auto="1"/>
      </right>
      <top style="medium">
        <color auto="1"/>
      </top>
      <bottom/>
      <diagonal/>
    </border>
    <border>
      <left style="double">
        <color auto="1"/>
      </left>
      <right style="medium">
        <color auto="1"/>
      </right>
      <top style="medium">
        <color auto="1"/>
      </top>
      <bottom style="medium">
        <color auto="1"/>
      </bottom>
      <diagonal/>
    </border>
    <border>
      <left style="medium">
        <color auto="1"/>
      </left>
      <right style="double">
        <color auto="1"/>
      </right>
      <top style="medium">
        <color auto="1"/>
      </top>
      <bottom style="medium">
        <color auto="1"/>
      </bottom>
      <diagonal/>
    </border>
    <border>
      <left style="double">
        <color auto="1"/>
      </left>
      <right/>
      <top style="double">
        <color auto="1"/>
      </top>
      <bottom/>
      <diagonal/>
    </border>
    <border>
      <left style="medium">
        <color auto="1"/>
      </left>
      <right style="medium">
        <color auto="1"/>
      </right>
      <top style="double">
        <color auto="1"/>
      </top>
      <bottom/>
      <diagonal/>
    </border>
    <border>
      <left style="medium">
        <color auto="1"/>
      </left>
      <right/>
      <top style="double">
        <color auto="1"/>
      </top>
      <bottom style="medium">
        <color auto="1"/>
      </bottom>
      <diagonal/>
    </border>
    <border>
      <left style="double">
        <color auto="1"/>
      </left>
      <right style="medium">
        <color auto="1"/>
      </right>
      <top/>
      <bottom style="medium">
        <color auto="1"/>
      </bottom>
      <diagonal/>
    </border>
    <border>
      <left style="medium">
        <color auto="1"/>
      </left>
      <right style="double">
        <color auto="1"/>
      </right>
      <top/>
      <bottom style="medium">
        <color auto="1"/>
      </bottom>
      <diagonal/>
    </border>
    <border>
      <left style="double">
        <color auto="1"/>
      </left>
      <right/>
      <top style="medium">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top style="medium">
        <color auto="1"/>
      </top>
      <bottom style="double">
        <color auto="1"/>
      </bottom>
      <diagonal/>
    </border>
    <border>
      <left style="double">
        <color auto="1"/>
      </left>
      <right style="medium">
        <color auto="1"/>
      </right>
      <top style="medium">
        <color auto="1"/>
      </top>
      <bottom style="double">
        <color auto="1"/>
      </bottom>
      <diagonal/>
    </border>
    <border>
      <left/>
      <right style="double">
        <color auto="1"/>
      </right>
      <top/>
      <bottom style="double">
        <color auto="1"/>
      </bottom>
      <diagonal/>
    </border>
    <border>
      <left style="medium">
        <color auto="1"/>
      </left>
      <right style="medium">
        <color auto="1"/>
      </right>
      <top/>
      <bottom/>
      <diagonal/>
    </border>
    <border>
      <left style="medium">
        <color auto="1"/>
      </left>
      <right style="thin">
        <color auto="1"/>
      </right>
      <top/>
      <bottom/>
      <diagonal/>
    </border>
    <border>
      <left/>
      <right style="medium">
        <color auto="1"/>
      </right>
      <top/>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style="medium">
        <color auto="1"/>
      </bottom>
      <diagonal/>
    </border>
    <border diagonalDown="1">
      <left style="thin">
        <color auto="1"/>
      </left>
      <right/>
      <top style="thin">
        <color auto="1"/>
      </top>
      <bottom/>
      <diagonal style="thin">
        <color auto="1"/>
      </diagonal>
    </border>
    <border diagonalDown="1">
      <left style="thin">
        <color auto="1"/>
      </left>
      <right/>
      <top/>
      <bottom style="thin">
        <color auto="1"/>
      </bottom>
      <diagonal style="thin">
        <color auto="1"/>
      </diagonal>
    </border>
    <border>
      <left style="thin">
        <color indexed="0"/>
      </left>
      <right style="thin">
        <color auto="1"/>
      </right>
      <top style="thin">
        <color indexed="0"/>
      </top>
      <bottom style="thin">
        <color indexed="8"/>
      </bottom>
      <diagonal/>
    </border>
    <border>
      <left style="thin">
        <color auto="1"/>
      </left>
      <right style="thin">
        <color auto="1"/>
      </right>
      <top style="thin">
        <color indexed="0"/>
      </top>
      <bottom style="thin">
        <color indexed="8"/>
      </bottom>
      <diagonal/>
    </border>
    <border>
      <left style="thin">
        <color auto="1"/>
      </left>
      <right style="thin">
        <color indexed="0"/>
      </right>
      <top style="thin">
        <color indexed="0"/>
      </top>
      <bottom style="thin">
        <color indexed="8"/>
      </bottom>
      <diagonal/>
    </border>
    <border>
      <left style="thin">
        <color auto="1"/>
      </left>
      <right style="thin">
        <color auto="1"/>
      </right>
      <top style="thin">
        <color indexed="8"/>
      </top>
      <bottom style="thin">
        <color auto="1"/>
      </bottom>
      <diagonal/>
    </border>
    <border>
      <left style="thin">
        <color auto="1"/>
      </left>
      <right style="thin">
        <color indexed="8"/>
      </right>
      <top style="thin">
        <color indexed="8"/>
      </top>
      <bottom style="thin">
        <color auto="1"/>
      </bottom>
      <diagonal/>
    </border>
    <border>
      <left style="thin">
        <color auto="1"/>
      </left>
      <right style="thin">
        <color indexed="8"/>
      </right>
      <top style="thin">
        <color auto="1"/>
      </top>
      <bottom style="thin">
        <color auto="1"/>
      </bottom>
      <diagonal/>
    </border>
    <border>
      <left style="thin">
        <color auto="1"/>
      </left>
      <right style="thin">
        <color indexed="8"/>
      </right>
      <top style="thin">
        <color auto="1"/>
      </top>
      <bottom/>
      <diagonal/>
    </border>
    <border>
      <left style="thin">
        <color indexed="0"/>
      </left>
      <right style="thin">
        <color auto="1"/>
      </right>
      <top style="thin">
        <color auto="1"/>
      </top>
      <bottom style="thin">
        <color indexed="0"/>
      </bottom>
      <diagonal/>
    </border>
    <border>
      <left style="thin">
        <color auto="1"/>
      </left>
      <right style="thin">
        <color auto="1"/>
      </right>
      <top style="thin">
        <color auto="1"/>
      </top>
      <bottom style="thin">
        <color indexed="0"/>
      </bottom>
      <diagonal/>
    </border>
    <border>
      <left style="thin">
        <color auto="1"/>
      </left>
      <right style="thin">
        <color indexed="0"/>
      </right>
      <top style="thin">
        <color auto="1"/>
      </top>
      <bottom style="thin">
        <color indexed="0"/>
      </bottom>
      <diagonal/>
    </border>
    <border>
      <left style="thin">
        <color auto="1"/>
      </left>
      <right style="thin">
        <color auto="1"/>
      </right>
      <top style="thin">
        <color indexed="0"/>
      </top>
      <bottom style="thin">
        <color auto="1"/>
      </bottom>
      <diagonal/>
    </border>
    <border>
      <left style="thin">
        <color auto="1"/>
      </left>
      <right style="thin">
        <color indexed="0"/>
      </right>
      <top style="thin">
        <color indexed="0"/>
      </top>
      <bottom style="thin">
        <color auto="1"/>
      </bottom>
      <diagonal/>
    </border>
    <border>
      <left style="thin">
        <color auto="1"/>
      </left>
      <right style="thin">
        <color indexed="0"/>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right style="medium">
        <color rgb="FF000000"/>
      </right>
      <top/>
      <bottom/>
      <diagonal/>
    </border>
    <border>
      <left/>
      <right style="medium">
        <color rgb="FF000000"/>
      </right>
      <top style="medium">
        <color rgb="FF000000"/>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128" fillId="0" borderId="0" applyFont="0" applyFill="0" applyBorder="0" applyAlignment="0" applyProtection="0">
      <alignment vertical="center"/>
    </xf>
    <xf numFmtId="177" fontId="128" fillId="0" borderId="0" applyFont="0" applyFill="0" applyBorder="0" applyAlignment="0" applyProtection="0">
      <alignment vertical="center"/>
    </xf>
    <xf numFmtId="9" fontId="0" fillId="0" borderId="0" applyFont="0" applyFill="0" applyBorder="0" applyAlignment="0" applyProtection="0">
      <alignment vertical="center"/>
    </xf>
    <xf numFmtId="178" fontId="128" fillId="0" borderId="0" applyFont="0" applyFill="0" applyBorder="0" applyAlignment="0" applyProtection="0">
      <alignment vertical="center"/>
    </xf>
    <xf numFmtId="179" fontId="128" fillId="0" borderId="0" applyFont="0" applyFill="0" applyBorder="0" applyAlignment="0" applyProtection="0">
      <alignment vertical="center"/>
    </xf>
    <xf numFmtId="0" fontId="129" fillId="0" borderId="0" applyNumberFormat="0" applyFill="0" applyBorder="0" applyAlignment="0" applyProtection="0"/>
    <xf numFmtId="0" fontId="130" fillId="0" borderId="0" applyNumberFormat="0" applyFill="0" applyBorder="0" applyAlignment="0" applyProtection="0">
      <alignment vertical="center"/>
    </xf>
    <xf numFmtId="0" fontId="128" fillId="26" borderId="96" applyNumberFormat="0" applyFont="0" applyAlignment="0" applyProtection="0">
      <alignment vertical="center"/>
    </xf>
    <xf numFmtId="0" fontId="131" fillId="0" borderId="0" applyNumberFormat="0" applyFill="0" applyBorder="0" applyAlignment="0" applyProtection="0">
      <alignment vertic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0" borderId="97" applyNumberFormat="0" applyFill="0" applyAlignment="0" applyProtection="0">
      <alignment vertical="center"/>
    </xf>
    <xf numFmtId="0" fontId="135" fillId="0" borderId="97" applyNumberFormat="0" applyFill="0" applyAlignment="0" applyProtection="0">
      <alignment vertical="center"/>
    </xf>
    <xf numFmtId="0" fontId="136" fillId="0" borderId="98" applyNumberFormat="0" applyFill="0" applyAlignment="0" applyProtection="0">
      <alignment vertical="center"/>
    </xf>
    <xf numFmtId="0" fontId="136" fillId="0" borderId="0" applyNumberFormat="0" applyFill="0" applyBorder="0" applyAlignment="0" applyProtection="0">
      <alignment vertical="center"/>
    </xf>
    <xf numFmtId="0" fontId="137" fillId="27" borderId="99" applyNumberFormat="0" applyAlignment="0" applyProtection="0">
      <alignment vertical="center"/>
    </xf>
    <xf numFmtId="0" fontId="138" fillId="28" borderId="100" applyNumberFormat="0" applyAlignment="0" applyProtection="0">
      <alignment vertical="center"/>
    </xf>
    <xf numFmtId="0" fontId="139" fillId="28" borderId="99" applyNumberFormat="0" applyAlignment="0" applyProtection="0">
      <alignment vertical="center"/>
    </xf>
    <xf numFmtId="0" fontId="140" fillId="29" borderId="101" applyNumberFormat="0" applyAlignment="0" applyProtection="0">
      <alignment vertical="center"/>
    </xf>
    <xf numFmtId="0" fontId="141" fillId="0" borderId="102" applyNumberFormat="0" applyFill="0" applyAlignment="0" applyProtection="0">
      <alignment vertical="center"/>
    </xf>
    <xf numFmtId="0" fontId="142" fillId="0" borderId="103" applyNumberFormat="0" applyFill="0" applyAlignment="0" applyProtection="0">
      <alignment vertical="center"/>
    </xf>
    <xf numFmtId="0" fontId="143" fillId="30" borderId="0" applyNumberFormat="0" applyBorder="0" applyAlignment="0" applyProtection="0">
      <alignment vertical="center"/>
    </xf>
    <xf numFmtId="0" fontId="144" fillId="31" borderId="0" applyNumberFormat="0" applyBorder="0" applyAlignment="0" applyProtection="0">
      <alignment vertical="center"/>
    </xf>
    <xf numFmtId="0" fontId="145" fillId="32" borderId="0" applyNumberFormat="0" applyBorder="0" applyAlignment="0" applyProtection="0">
      <alignment vertical="center"/>
    </xf>
    <xf numFmtId="0" fontId="146" fillId="25" borderId="0" applyNumberFormat="0" applyBorder="0" applyAlignment="0" applyProtection="0">
      <alignment vertical="center"/>
    </xf>
    <xf numFmtId="0" fontId="147" fillId="33" borderId="0" applyNumberFormat="0" applyBorder="0" applyAlignment="0" applyProtection="0">
      <alignment vertical="center"/>
    </xf>
    <xf numFmtId="0" fontId="147" fillId="34" borderId="0" applyNumberFormat="0" applyBorder="0" applyAlignment="0" applyProtection="0">
      <alignment vertical="center"/>
    </xf>
    <xf numFmtId="0" fontId="146" fillId="35" borderId="0" applyNumberFormat="0" applyBorder="0" applyAlignment="0" applyProtection="0">
      <alignment vertical="center"/>
    </xf>
    <xf numFmtId="0" fontId="146" fillId="36" borderId="0" applyNumberFormat="0" applyBorder="0" applyAlignment="0" applyProtection="0">
      <alignment vertical="center"/>
    </xf>
    <xf numFmtId="0" fontId="147" fillId="37" borderId="0" applyNumberFormat="0" applyBorder="0" applyAlignment="0" applyProtection="0">
      <alignment vertical="center"/>
    </xf>
    <xf numFmtId="0" fontId="147" fillId="38" borderId="0" applyNumberFormat="0" applyBorder="0" applyAlignment="0" applyProtection="0">
      <alignment vertical="center"/>
    </xf>
    <xf numFmtId="0" fontId="146" fillId="39" borderId="0" applyNumberFormat="0" applyBorder="0" applyAlignment="0" applyProtection="0">
      <alignment vertical="center"/>
    </xf>
    <xf numFmtId="0" fontId="146" fillId="40" borderId="0" applyNumberFormat="0" applyBorder="0" applyAlignment="0" applyProtection="0">
      <alignment vertical="center"/>
    </xf>
    <xf numFmtId="0" fontId="147" fillId="41" borderId="0" applyNumberFormat="0" applyBorder="0" applyAlignment="0" applyProtection="0">
      <alignment vertical="center"/>
    </xf>
    <xf numFmtId="0" fontId="147" fillId="42" borderId="0" applyNumberFormat="0" applyBorder="0" applyAlignment="0" applyProtection="0">
      <alignment vertical="center"/>
    </xf>
    <xf numFmtId="0" fontId="146" fillId="43" borderId="0" applyNumberFormat="0" applyBorder="0" applyAlignment="0" applyProtection="0">
      <alignment vertical="center"/>
    </xf>
    <xf numFmtId="0" fontId="146" fillId="44" borderId="0" applyNumberFormat="0" applyBorder="0" applyAlignment="0" applyProtection="0">
      <alignment vertical="center"/>
    </xf>
    <xf numFmtId="0" fontId="147" fillId="45" borderId="0" applyNumberFormat="0" applyBorder="0" applyAlignment="0" applyProtection="0">
      <alignment vertical="center"/>
    </xf>
    <xf numFmtId="0" fontId="147" fillId="46" borderId="0" applyNumberFormat="0" applyBorder="0" applyAlignment="0" applyProtection="0">
      <alignment vertical="center"/>
    </xf>
    <xf numFmtId="0" fontId="146" fillId="47" borderId="0" applyNumberFormat="0" applyBorder="0" applyAlignment="0" applyProtection="0">
      <alignment vertical="center"/>
    </xf>
    <xf numFmtId="0" fontId="146" fillId="48" borderId="0" applyNumberFormat="0" applyBorder="0" applyAlignment="0" applyProtection="0">
      <alignment vertical="center"/>
    </xf>
    <xf numFmtId="0" fontId="147" fillId="49" borderId="0" applyNumberFormat="0" applyBorder="0" applyAlignment="0" applyProtection="0">
      <alignment vertical="center"/>
    </xf>
    <xf numFmtId="0" fontId="147" fillId="50" borderId="0" applyNumberFormat="0" applyBorder="0" applyAlignment="0" applyProtection="0">
      <alignment vertical="center"/>
    </xf>
    <xf numFmtId="0" fontId="146" fillId="51" borderId="0" applyNumberFormat="0" applyBorder="0" applyAlignment="0" applyProtection="0">
      <alignment vertical="center"/>
    </xf>
    <xf numFmtId="0" fontId="146" fillId="8" borderId="0" applyNumberFormat="0" applyBorder="0" applyAlignment="0" applyProtection="0">
      <alignment vertical="center"/>
    </xf>
    <xf numFmtId="0" fontId="147" fillId="52" borderId="0" applyNumberFormat="0" applyBorder="0" applyAlignment="0" applyProtection="0">
      <alignment vertical="center"/>
    </xf>
    <xf numFmtId="0" fontId="147" fillId="53" borderId="0" applyNumberFormat="0" applyBorder="0" applyAlignment="0" applyProtection="0">
      <alignment vertical="center"/>
    </xf>
    <xf numFmtId="0" fontId="146" fillId="54" borderId="0" applyNumberFormat="0" applyBorder="0" applyAlignment="0" applyProtection="0">
      <alignment vertical="center"/>
    </xf>
    <xf numFmtId="0" fontId="148" fillId="0" borderId="0"/>
  </cellStyleXfs>
  <cellXfs count="1105">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horizontal="center" vertical="center"/>
    </xf>
    <xf numFmtId="0" fontId="1" fillId="0" borderId="1" xfId="0" applyNumberFormat="1" applyFont="1" applyBorder="1" applyAlignment="1">
      <alignment horizontal="center" vertical="center" wrapText="1"/>
    </xf>
    <xf numFmtId="0" fontId="2" fillId="0" borderId="1" xfId="0" applyNumberFormat="1" applyFont="1" applyBorder="1" applyAlignment="1">
      <alignment horizontal="left" vertical="center" wrapText="1"/>
    </xf>
    <xf numFmtId="0" fontId="1" fillId="0" borderId="1" xfId="0" applyNumberFormat="1" applyFont="1" applyBorder="1" applyAlignment="1">
      <alignment horizontal="left" vertical="center" wrapText="1"/>
    </xf>
    <xf numFmtId="0" fontId="1" fillId="0" borderId="2" xfId="0" applyNumberFormat="1" applyFont="1" applyBorder="1" applyAlignment="1">
      <alignment horizontal="left" vertical="center" wrapText="1"/>
    </xf>
    <xf numFmtId="0" fontId="1" fillId="0" borderId="3" xfId="0" applyNumberFormat="1" applyFont="1" applyBorder="1" applyAlignment="1">
      <alignment horizontal="left" vertical="center" wrapText="1"/>
    </xf>
    <xf numFmtId="0" fontId="1" fillId="0" borderId="4" xfId="0" applyNumberFormat="1" applyFont="1" applyBorder="1" applyAlignment="1">
      <alignment horizontal="left" vertical="center" wrapText="1"/>
    </xf>
    <xf numFmtId="49" fontId="1" fillId="0" borderId="1" xfId="0" applyNumberFormat="1" applyFont="1" applyBorder="1" applyAlignment="1">
      <alignment horizontal="center" vertical="center" wrapText="1"/>
    </xf>
    <xf numFmtId="0" fontId="3" fillId="2" borderId="1" xfId="0" applyFont="1" applyFill="1" applyBorder="1" applyAlignment="1">
      <alignment horizontal="center"/>
    </xf>
    <xf numFmtId="0" fontId="3" fillId="2" borderId="1" xfId="0" applyFont="1" applyFill="1" applyBorder="1"/>
    <xf numFmtId="0" fontId="3" fillId="2" borderId="1" xfId="0" applyFont="1" applyFill="1" applyBorder="1" applyAlignment="1">
      <alignment horizontal="left"/>
    </xf>
    <xf numFmtId="0" fontId="4" fillId="2" borderId="1" xfId="0" applyFont="1" applyFill="1" applyBorder="1" applyAlignment="1">
      <alignment wrapText="1"/>
    </xf>
    <xf numFmtId="0" fontId="3" fillId="2" borderId="1" xfId="0" applyFont="1" applyFill="1" applyBorder="1" applyProtection="1">
      <protection locked="0"/>
    </xf>
    <xf numFmtId="0" fontId="5" fillId="0" borderId="0" xfId="0" applyFont="1" applyAlignment="1">
      <alignment vertical="center"/>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0"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7" fillId="0" borderId="0" xfId="0" applyFont="1"/>
    <xf numFmtId="180" fontId="7" fillId="0" borderId="0" xfId="0" applyNumberFormat="1" applyFont="1"/>
    <xf numFmtId="181" fontId="7" fillId="0" borderId="0" xfId="0" applyNumberFormat="1" applyFont="1"/>
    <xf numFmtId="0" fontId="0" fillId="0" borderId="0" xfId="0" applyFont="1" applyAlignment="1">
      <alignment horizontal="left" vertical="center"/>
    </xf>
    <xf numFmtId="0" fontId="7" fillId="0" borderId="0" xfId="0" applyFont="1" applyAlignment="1">
      <alignment horizontal="left" vertical="center"/>
    </xf>
    <xf numFmtId="180" fontId="7" fillId="0" borderId="0" xfId="0" applyNumberFormat="1" applyFont="1" applyAlignment="1">
      <alignment vertical="center"/>
    </xf>
    <xf numFmtId="0" fontId="7" fillId="0" borderId="0" xfId="0" applyFont="1" applyAlignment="1">
      <alignment vertical="center"/>
    </xf>
    <xf numFmtId="181" fontId="7" fillId="0" borderId="0" xfId="0" applyNumberFormat="1"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7" fillId="0" borderId="0" xfId="0" applyFont="1" applyAlignment="1">
      <alignment horizontal="center" vertical="center"/>
    </xf>
    <xf numFmtId="180" fontId="7" fillId="0" borderId="0" xfId="0" applyNumberFormat="1" applyFont="1" applyAlignment="1">
      <alignment horizontal="center" vertical="center"/>
    </xf>
    <xf numFmtId="0" fontId="0" fillId="0" borderId="0" xfId="0" applyAlignment="1">
      <alignment horizontal="right"/>
    </xf>
    <xf numFmtId="0" fontId="7" fillId="0" borderId="13" xfId="0" applyFont="1" applyBorder="1" applyAlignment="1">
      <alignment horizontal="center" vertical="center"/>
    </xf>
    <xf numFmtId="0" fontId="7" fillId="0" borderId="5" xfId="0" applyFont="1" applyBorder="1" applyAlignment="1">
      <alignment vertical="center"/>
    </xf>
    <xf numFmtId="180" fontId="7" fillId="0" borderId="1" xfId="0" applyNumberFormat="1" applyFont="1" applyBorder="1" applyAlignment="1">
      <alignment horizontal="center" vertical="center"/>
    </xf>
    <xf numFmtId="0" fontId="7" fillId="0" borderId="1" xfId="0" applyFont="1" applyBorder="1" applyAlignment="1">
      <alignment vertical="center"/>
    </xf>
    <xf numFmtId="0" fontId="7" fillId="0" borderId="1" xfId="0" applyFont="1" applyBorder="1" applyAlignment="1">
      <alignment horizontal="center" vertical="center"/>
    </xf>
    <xf numFmtId="0" fontId="7" fillId="0" borderId="14" xfId="0" applyFont="1" applyBorder="1" applyAlignment="1">
      <alignment horizontal="center" vertical="center"/>
    </xf>
    <xf numFmtId="0" fontId="7" fillId="0" borderId="10" xfId="0" applyFont="1" applyBorder="1" applyAlignment="1">
      <alignment vertical="center"/>
    </xf>
    <xf numFmtId="181" fontId="7" fillId="0" borderId="1" xfId="0" applyNumberFormat="1" applyFont="1" applyBorder="1" applyAlignment="1">
      <alignment horizontal="center" vertical="center"/>
    </xf>
    <xf numFmtId="180" fontId="7" fillId="0" borderId="1" xfId="0" applyNumberFormat="1" applyFont="1" applyFill="1" applyBorder="1" applyAlignment="1">
      <alignment horizontal="center" vertical="center"/>
    </xf>
    <xf numFmtId="0" fontId="7" fillId="0" borderId="1" xfId="0" applyFont="1" applyFill="1" applyBorder="1" applyAlignment="1">
      <alignment horizontal="center" vertical="center"/>
    </xf>
    <xf numFmtId="181" fontId="7" fillId="0" borderId="1" xfId="0" applyNumberFormat="1" applyFont="1" applyFill="1" applyBorder="1" applyAlignment="1">
      <alignment horizontal="center" vertical="center"/>
    </xf>
    <xf numFmtId="10" fontId="7" fillId="0" borderId="1" xfId="0" applyNumberFormat="1" applyFont="1" applyFill="1" applyBorder="1" applyAlignment="1">
      <alignment horizontal="center" vertical="center"/>
    </xf>
    <xf numFmtId="181" fontId="7" fillId="0" borderId="1" xfId="0" applyNumberFormat="1" applyFont="1" applyFill="1" applyBorder="1" applyAlignment="1" applyProtection="1">
      <alignment horizontal="center" vertical="center"/>
      <protection locked="0"/>
    </xf>
    <xf numFmtId="0" fontId="7" fillId="0" borderId="0" xfId="0" applyFont="1" applyAlignment="1">
      <alignment horizontal="center"/>
    </xf>
    <xf numFmtId="180" fontId="7" fillId="0" borderId="0" xfId="0" applyNumberFormat="1" applyFont="1" applyFill="1"/>
    <xf numFmtId="0" fontId="7" fillId="0" borderId="0" xfId="0" applyFont="1" applyFill="1" applyAlignment="1">
      <alignment horizontal="center"/>
    </xf>
    <xf numFmtId="181" fontId="7" fillId="0" borderId="0" xfId="0" applyNumberFormat="1" applyFont="1" applyFill="1" applyAlignment="1">
      <alignment horizontal="center"/>
    </xf>
    <xf numFmtId="181" fontId="7" fillId="0" borderId="0" xfId="0" applyNumberFormat="1" applyFont="1" applyAlignment="1">
      <alignment horizontal="center"/>
    </xf>
    <xf numFmtId="0" fontId="7" fillId="0" borderId="0" xfId="0" applyFont="1" applyFill="1"/>
    <xf numFmtId="0" fontId="10" fillId="0" borderId="0" xfId="0" applyFont="1" applyAlignment="1">
      <alignment horizontal="center" vertical="center"/>
    </xf>
    <xf numFmtId="0" fontId="7" fillId="0" borderId="15" xfId="0" applyFont="1" applyBorder="1" applyAlignment="1">
      <alignment vertical="center" wrapText="1"/>
    </xf>
    <xf numFmtId="0" fontId="0" fillId="0" borderId="1" xfId="0" applyFont="1" applyBorder="1" applyAlignment="1">
      <alignment horizontal="center" vertical="center"/>
    </xf>
    <xf numFmtId="0" fontId="0" fillId="0" borderId="16" xfId="0" applyBorder="1" applyAlignment="1">
      <alignment vertical="center"/>
    </xf>
    <xf numFmtId="0" fontId="0" fillId="0" borderId="1" xfId="0" applyFont="1" applyBorder="1" applyAlignment="1">
      <alignment vertical="center"/>
    </xf>
    <xf numFmtId="0" fontId="7" fillId="0" borderId="1" xfId="0" applyFont="1" applyBorder="1"/>
    <xf numFmtId="181" fontId="7" fillId="0" borderId="1" xfId="0" applyNumberFormat="1" applyFont="1" applyBorder="1" applyAlignment="1">
      <alignment horizontal="right"/>
    </xf>
    <xf numFmtId="181" fontId="7" fillId="0" borderId="1" xfId="0" applyNumberFormat="1" applyFont="1" applyBorder="1" applyAlignment="1" applyProtection="1">
      <alignment horizontal="right"/>
      <protection locked="0"/>
    </xf>
    <xf numFmtId="181" fontId="7" fillId="0" borderId="1" xfId="0" applyNumberFormat="1" applyFont="1" applyBorder="1"/>
    <xf numFmtId="181" fontId="7" fillId="0" borderId="1" xfId="0" applyNumberFormat="1" applyFont="1" applyFill="1" applyBorder="1" applyAlignment="1">
      <alignment horizontal="right" vertical="center"/>
    </xf>
    <xf numFmtId="181" fontId="7" fillId="0" borderId="1" xfId="0" applyNumberFormat="1" applyFont="1" applyBorder="1" applyAlignment="1">
      <alignment horizontal="right" vertical="center"/>
    </xf>
    <xf numFmtId="0" fontId="11" fillId="0" borderId="0" xfId="0" applyFont="1"/>
    <xf numFmtId="182" fontId="7" fillId="0" borderId="0" xfId="1" applyNumberFormat="1" applyFont="1" applyAlignment="1"/>
    <xf numFmtId="9" fontId="7" fillId="0" borderId="0" xfId="3" applyFont="1" applyFill="1" applyAlignment="1">
      <alignment horizontal="center"/>
    </xf>
    <xf numFmtId="0" fontId="0" fillId="0" borderId="0" xfId="0"/>
    <xf numFmtId="0" fontId="0" fillId="0" borderId="0" xfId="0" applyFont="1" applyFill="1" applyBorder="1" applyAlignment="1">
      <alignment vertical="center"/>
    </xf>
    <xf numFmtId="10" fontId="7" fillId="0" borderId="0" xfId="0" applyNumberFormat="1" applyFont="1" applyAlignment="1">
      <alignment horizontal="center"/>
    </xf>
    <xf numFmtId="0" fontId="0" fillId="0" borderId="0" xfId="0" applyFont="1" applyAlignment="1">
      <alignment vertical="center"/>
    </xf>
    <xf numFmtId="0" fontId="7" fillId="0" borderId="5" xfId="0" applyFont="1" applyBorder="1" applyAlignment="1">
      <alignment horizontal="center" vertical="center"/>
    </xf>
    <xf numFmtId="181" fontId="7" fillId="0" borderId="2" xfId="0" applyNumberFormat="1" applyFont="1" applyBorder="1" applyAlignment="1">
      <alignment horizontal="center" vertical="center"/>
    </xf>
    <xf numFmtId="181" fontId="7" fillId="0" borderId="3" xfId="0" applyNumberFormat="1" applyFont="1" applyBorder="1" applyAlignment="1">
      <alignment horizontal="center" vertical="center"/>
    </xf>
    <xf numFmtId="181" fontId="7" fillId="0" borderId="4" xfId="0" applyNumberFormat="1" applyFont="1" applyBorder="1" applyAlignment="1">
      <alignment horizontal="center" vertical="center"/>
    </xf>
    <xf numFmtId="181" fontId="7" fillId="0" borderId="13" xfId="0" applyNumberFormat="1" applyFont="1" applyBorder="1" applyAlignment="1">
      <alignment horizontal="center" vertical="center"/>
    </xf>
    <xf numFmtId="181" fontId="7" fillId="0" borderId="0" xfId="0" applyNumberFormat="1" applyFont="1" applyBorder="1" applyAlignment="1">
      <alignment horizontal="center" vertical="center"/>
    </xf>
    <xf numFmtId="183" fontId="7" fillId="0" borderId="0" xfId="0" applyNumberFormat="1" applyFont="1" applyBorder="1" applyAlignment="1">
      <alignment horizontal="center" vertical="center"/>
    </xf>
    <xf numFmtId="0" fontId="7" fillId="0" borderId="10" xfId="0" applyFont="1" applyBorder="1" applyAlignment="1">
      <alignment horizontal="center" vertical="center"/>
    </xf>
    <xf numFmtId="181" fontId="7" fillId="0" borderId="14" xfId="0" applyNumberFormat="1" applyFont="1" applyBorder="1" applyAlignment="1">
      <alignment horizontal="center" vertical="center"/>
    </xf>
    <xf numFmtId="0" fontId="7" fillId="0" borderId="14" xfId="0" applyFont="1" applyBorder="1" applyAlignment="1">
      <alignment vertical="center"/>
    </xf>
    <xf numFmtId="184" fontId="7" fillId="0" borderId="1" xfId="0" applyNumberFormat="1" applyFont="1" applyBorder="1" applyAlignment="1">
      <alignment horizontal="center" vertical="center"/>
    </xf>
    <xf numFmtId="181" fontId="7" fillId="0" borderId="1" xfId="0" applyNumberFormat="1" applyFont="1" applyBorder="1" applyAlignment="1" applyProtection="1">
      <alignment horizontal="center" vertical="center"/>
      <protection locked="0"/>
    </xf>
    <xf numFmtId="184" fontId="7" fillId="0" borderId="1" xfId="0" applyNumberFormat="1" applyFont="1" applyBorder="1" applyAlignment="1">
      <alignment horizontal="right" vertical="center"/>
    </xf>
    <xf numFmtId="185" fontId="7" fillId="0" borderId="0" xfId="0" applyNumberFormat="1" applyFont="1" applyBorder="1" applyAlignment="1">
      <alignment horizontal="center" vertical="center"/>
    </xf>
    <xf numFmtId="0" fontId="7" fillId="0" borderId="1" xfId="0" applyFont="1" applyBorder="1" applyAlignment="1">
      <alignment horizontal="right" vertical="center"/>
    </xf>
    <xf numFmtId="184" fontId="7" fillId="0" borderId="1" xfId="0" applyNumberFormat="1" applyFont="1" applyFill="1" applyBorder="1" applyAlignment="1">
      <alignment horizontal="center" vertical="center"/>
    </xf>
    <xf numFmtId="0" fontId="7" fillId="0" borderId="1" xfId="0" applyFont="1" applyBorder="1" applyAlignment="1">
      <alignment horizontal="left" vertical="center"/>
    </xf>
    <xf numFmtId="181" fontId="12" fillId="0" borderId="1" xfId="0" applyNumberFormat="1" applyFont="1" applyBorder="1" applyAlignment="1">
      <alignment horizontal="right" vertical="center"/>
    </xf>
    <xf numFmtId="181" fontId="7" fillId="0" borderId="1" xfId="0" applyNumberFormat="1" applyFont="1" applyBorder="1" applyAlignment="1">
      <alignment vertical="center"/>
    </xf>
    <xf numFmtId="0" fontId="0" fillId="0" borderId="0" xfId="0" applyFont="1"/>
    <xf numFmtId="0" fontId="7" fillId="3" borderId="0" xfId="0" applyFont="1" applyFill="1"/>
    <xf numFmtId="180" fontId="9" fillId="0" borderId="0" xfId="0" applyNumberFormat="1" applyFont="1" applyAlignment="1">
      <alignment horizontal="center" vertical="center"/>
    </xf>
    <xf numFmtId="180" fontId="10" fillId="0" borderId="0" xfId="0" applyNumberFormat="1" applyFont="1" applyAlignment="1">
      <alignment horizontal="center" vertical="center"/>
    </xf>
    <xf numFmtId="180" fontId="7" fillId="0" borderId="0" xfId="0" applyNumberFormat="1" applyFont="1" applyBorder="1" applyAlignment="1">
      <alignment vertical="center"/>
    </xf>
    <xf numFmtId="180" fontId="0" fillId="0" borderId="0" xfId="0" applyNumberFormat="1" applyFont="1" applyBorder="1" applyAlignment="1">
      <alignment horizontal="right" vertical="center"/>
    </xf>
    <xf numFmtId="0" fontId="7" fillId="0" borderId="15" xfId="0" applyFont="1" applyBorder="1" applyAlignment="1">
      <alignment horizontal="left" vertical="center" wrapText="1"/>
    </xf>
    <xf numFmtId="180" fontId="7" fillId="0" borderId="2" xfId="0" applyNumberFormat="1" applyFont="1" applyBorder="1" applyAlignment="1">
      <alignment horizontal="center" vertical="center"/>
    </xf>
    <xf numFmtId="180" fontId="7" fillId="0" borderId="3" xfId="0" applyNumberFormat="1" applyFont="1" applyBorder="1" applyAlignment="1">
      <alignment horizontal="center" vertical="center"/>
    </xf>
    <xf numFmtId="180" fontId="7" fillId="0" borderId="4" xfId="0" applyNumberFormat="1" applyFont="1" applyBorder="1" applyAlignment="1">
      <alignment horizontal="center" vertical="center"/>
    </xf>
    <xf numFmtId="0" fontId="0" fillId="0" borderId="16" xfId="0" applyBorder="1" applyAlignment="1">
      <alignment horizontal="left" vertical="center"/>
    </xf>
    <xf numFmtId="180" fontId="7" fillId="0" borderId="12" xfId="0" applyNumberFormat="1" applyFont="1" applyBorder="1" applyAlignment="1">
      <alignment horizontal="center" vertical="center"/>
    </xf>
    <xf numFmtId="180" fontId="7" fillId="0" borderId="12" xfId="0" applyNumberFormat="1" applyFont="1" applyFill="1" applyBorder="1" applyAlignment="1">
      <alignment horizontal="center" vertical="center"/>
    </xf>
    <xf numFmtId="0" fontId="7" fillId="3" borderId="1" xfId="0" applyFont="1" applyFill="1" applyBorder="1" applyAlignment="1">
      <alignment horizontal="center" vertical="center"/>
    </xf>
    <xf numFmtId="0" fontId="7" fillId="3" borderId="1" xfId="0" applyFont="1" applyFill="1" applyBorder="1" applyAlignment="1">
      <alignment horizontal="left" vertical="center"/>
    </xf>
    <xf numFmtId="180" fontId="7" fillId="3" borderId="1" xfId="0" applyNumberFormat="1" applyFont="1" applyFill="1" applyBorder="1" applyAlignment="1">
      <alignment horizontal="center" vertical="center"/>
    </xf>
    <xf numFmtId="0" fontId="7" fillId="3" borderId="1" xfId="0" applyFont="1" applyFill="1" applyBorder="1"/>
    <xf numFmtId="180" fontId="7" fillId="0" borderId="1" xfId="0" applyNumberFormat="1" applyFont="1" applyFill="1" applyBorder="1" applyAlignment="1" applyProtection="1">
      <alignment horizontal="center" vertical="center"/>
      <protection locked="0"/>
    </xf>
    <xf numFmtId="0" fontId="0" fillId="0" borderId="1" xfId="0" applyFont="1" applyBorder="1" applyAlignment="1">
      <alignment horizontal="left" vertical="center"/>
    </xf>
    <xf numFmtId="180" fontId="7" fillId="0" borderId="1" xfId="0" applyNumberFormat="1" applyFont="1" applyBorder="1" applyAlignment="1">
      <alignment horizontal="right" vertical="center"/>
    </xf>
    <xf numFmtId="180" fontId="13" fillId="0" borderId="1" xfId="0" applyNumberFormat="1" applyFont="1" applyBorder="1" applyAlignment="1">
      <alignment horizontal="right" vertical="center"/>
    </xf>
    <xf numFmtId="180" fontId="7" fillId="0" borderId="1" xfId="0" applyNumberFormat="1" applyFont="1" applyFill="1" applyBorder="1" applyAlignment="1">
      <alignment horizontal="right" vertical="center"/>
    </xf>
    <xf numFmtId="180" fontId="7" fillId="0" borderId="1" xfId="0" applyNumberFormat="1" applyFont="1" applyFill="1" applyBorder="1" applyAlignment="1">
      <alignment vertical="center"/>
    </xf>
    <xf numFmtId="0" fontId="7" fillId="0" borderId="1" xfId="0" applyFont="1" applyFill="1" applyBorder="1" applyAlignment="1">
      <alignment horizontal="left" vertical="center"/>
    </xf>
    <xf numFmtId="0" fontId="0" fillId="0" borderId="1" xfId="0" applyFont="1" applyFill="1" applyBorder="1" applyAlignment="1">
      <alignment horizontal="left" vertical="center"/>
    </xf>
    <xf numFmtId="0" fontId="0" fillId="3" borderId="1" xfId="0" applyFont="1" applyFill="1" applyBorder="1" applyAlignment="1">
      <alignment horizontal="left" vertical="center"/>
    </xf>
    <xf numFmtId="10" fontId="7" fillId="0" borderId="0" xfId="0" applyNumberFormat="1" applyFont="1"/>
    <xf numFmtId="180" fontId="0" fillId="0" borderId="0" xfId="0" applyNumberFormat="1" applyAlignment="1">
      <alignment horizontal="right"/>
    </xf>
    <xf numFmtId="186" fontId="7" fillId="0" borderId="0" xfId="0" applyNumberFormat="1" applyFont="1"/>
    <xf numFmtId="180" fontId="0" fillId="0" borderId="0" xfId="0" applyNumberFormat="1" applyAlignment="1">
      <alignment horizontal="right" wrapText="1"/>
    </xf>
    <xf numFmtId="187" fontId="7" fillId="0" borderId="0" xfId="0" applyNumberFormat="1" applyFont="1"/>
    <xf numFmtId="0" fontId="7" fillId="0" borderId="0" xfId="0" applyFont="1" applyBorder="1" applyAlignment="1">
      <alignment horizontal="right" vertical="center"/>
    </xf>
    <xf numFmtId="0" fontId="0" fillId="0" borderId="2" xfId="0" applyFont="1" applyFill="1" applyBorder="1" applyAlignment="1">
      <alignment horizontal="center" vertical="center"/>
    </xf>
    <xf numFmtId="0" fontId="0" fillId="0" borderId="3" xfId="0" applyFont="1" applyFill="1" applyBorder="1" applyAlignment="1">
      <alignment horizontal="center" vertical="center"/>
    </xf>
    <xf numFmtId="0" fontId="0" fillId="0" borderId="4" xfId="0" applyFont="1" applyFill="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left" vertical="center"/>
    </xf>
    <xf numFmtId="181" fontId="10" fillId="0" borderId="1" xfId="0" applyNumberFormat="1" applyFont="1" applyBorder="1" applyAlignment="1">
      <alignment horizontal="center" vertical="center"/>
    </xf>
    <xf numFmtId="0" fontId="14" fillId="0" borderId="1" xfId="0" applyFont="1" applyBorder="1" applyAlignment="1">
      <alignment horizontal="left" vertical="center"/>
    </xf>
    <xf numFmtId="0" fontId="10" fillId="0" borderId="1" xfId="0" applyFont="1" applyFill="1" applyBorder="1" applyAlignment="1">
      <alignment horizontal="left" vertical="center"/>
    </xf>
    <xf numFmtId="10" fontId="7" fillId="0" borderId="1" xfId="0" applyNumberFormat="1" applyFont="1" applyBorder="1" applyAlignment="1">
      <alignment horizontal="center" vertical="center"/>
    </xf>
    <xf numFmtId="0" fontId="7" fillId="0" borderId="0" xfId="0" applyFont="1" applyAlignment="1">
      <alignment horizontal="left"/>
    </xf>
    <xf numFmtId="176" fontId="7" fillId="0" borderId="0" xfId="1" applyFont="1" applyAlignment="1">
      <alignment horizontal="center" vertical="center"/>
    </xf>
    <xf numFmtId="180" fontId="7" fillId="0" borderId="0" xfId="0" applyNumberFormat="1" applyFont="1" applyFill="1" applyAlignment="1">
      <alignment horizontal="center" vertical="center"/>
    </xf>
    <xf numFmtId="188" fontId="7" fillId="0" borderId="0" xfId="0" applyNumberFormat="1" applyFont="1" applyFill="1" applyAlignment="1">
      <alignment horizontal="center" vertical="center"/>
    </xf>
    <xf numFmtId="0" fontId="15" fillId="0" borderId="0" xfId="0" applyFont="1" applyAlignment="1">
      <alignment horizontal="center" vertical="center"/>
    </xf>
    <xf numFmtId="180" fontId="7" fillId="0" borderId="0" xfId="0" applyNumberFormat="1" applyFont="1" applyBorder="1" applyAlignment="1">
      <alignment horizontal="center" vertical="center"/>
    </xf>
    <xf numFmtId="180" fontId="0" fillId="0" borderId="0" xfId="0" applyNumberFormat="1" applyBorder="1" applyAlignment="1">
      <alignment horizontal="center" vertical="center"/>
    </xf>
    <xf numFmtId="180" fontId="0" fillId="0" borderId="0" xfId="0" applyNumberFormat="1" applyBorder="1" applyAlignment="1">
      <alignment horizontal="right" vertical="center"/>
    </xf>
    <xf numFmtId="180" fontId="7" fillId="0" borderId="13" xfId="0" applyNumberFormat="1" applyFont="1" applyBorder="1" applyAlignment="1">
      <alignment horizontal="center" vertical="center"/>
    </xf>
    <xf numFmtId="180" fontId="0" fillId="0" borderId="1" xfId="0" applyNumberFormat="1" applyFont="1" applyBorder="1" applyAlignment="1">
      <alignment horizontal="center" vertical="center"/>
    </xf>
    <xf numFmtId="0" fontId="7" fillId="0" borderId="16" xfId="0" applyFont="1" applyBorder="1" applyAlignment="1">
      <alignment horizontal="left" vertical="center" wrapText="1"/>
    </xf>
    <xf numFmtId="180" fontId="7" fillId="0" borderId="14" xfId="0" applyNumberFormat="1" applyFont="1" applyBorder="1" applyAlignment="1">
      <alignment horizontal="center" vertical="center"/>
    </xf>
    <xf numFmtId="0" fontId="0" fillId="0" borderId="1" xfId="0" applyFont="1" applyBorder="1" applyAlignment="1">
      <alignment vertical="center" wrapText="1"/>
    </xf>
    <xf numFmtId="180" fontId="7" fillId="0" borderId="1" xfId="0" applyNumberFormat="1" applyFont="1" applyBorder="1" applyAlignment="1">
      <alignment horizontal="left" vertical="center"/>
    </xf>
    <xf numFmtId="0" fontId="0" fillId="4" borderId="1" xfId="0" applyFont="1" applyFill="1" applyBorder="1" applyAlignment="1">
      <alignment horizontal="right" vertical="center"/>
    </xf>
    <xf numFmtId="180" fontId="7" fillId="4" borderId="1" xfId="0" applyNumberFormat="1" applyFont="1" applyFill="1" applyBorder="1" applyAlignment="1">
      <alignment horizontal="left" vertical="center"/>
    </xf>
    <xf numFmtId="180" fontId="7" fillId="4" borderId="1" xfId="0" applyNumberFormat="1" applyFont="1" applyFill="1" applyBorder="1" applyAlignment="1">
      <alignment horizontal="center" vertical="center"/>
    </xf>
    <xf numFmtId="0" fontId="0" fillId="0" borderId="1" xfId="0" applyFont="1" applyFill="1" applyBorder="1" applyAlignment="1">
      <alignment horizontal="right" vertical="center"/>
    </xf>
    <xf numFmtId="180" fontId="7" fillId="0" borderId="1" xfId="0" applyNumberFormat="1" applyFont="1" applyFill="1" applyBorder="1" applyAlignment="1">
      <alignment horizontal="left" vertical="center"/>
    </xf>
    <xf numFmtId="186" fontId="7" fillId="0" borderId="1" xfId="0" applyNumberFormat="1" applyFont="1" applyFill="1" applyBorder="1" applyAlignment="1">
      <alignment horizontal="center" vertical="center"/>
    </xf>
    <xf numFmtId="189" fontId="7" fillId="0" borderId="1" xfId="0" applyNumberFormat="1" applyFont="1" applyFill="1" applyBorder="1" applyAlignment="1">
      <alignment horizontal="center" vertical="center"/>
    </xf>
    <xf numFmtId="186" fontId="7" fillId="4" borderId="1" xfId="0" applyNumberFormat="1" applyFont="1" applyFill="1" applyBorder="1" applyAlignment="1">
      <alignment horizontal="center" vertical="center"/>
    </xf>
    <xf numFmtId="188" fontId="7" fillId="0" borderId="1" xfId="0" applyNumberFormat="1" applyFont="1" applyFill="1" applyBorder="1" applyAlignment="1">
      <alignment horizontal="center" vertical="center"/>
    </xf>
    <xf numFmtId="0" fontId="0" fillId="0" borderId="1" xfId="0" applyFont="1" applyFill="1" applyBorder="1" applyAlignment="1">
      <alignment horizontal="left" vertical="center" wrapText="1"/>
    </xf>
    <xf numFmtId="180" fontId="16" fillId="0" borderId="1" xfId="0" applyNumberFormat="1" applyFont="1" applyFill="1" applyBorder="1" applyAlignment="1">
      <alignment horizontal="center" vertical="center"/>
    </xf>
    <xf numFmtId="0" fontId="7" fillId="0" borderId="12" xfId="0" applyFont="1" applyBorder="1" applyAlignment="1">
      <alignment horizontal="left" vertical="center"/>
    </xf>
    <xf numFmtId="0" fontId="0" fillId="0" borderId="12" xfId="0" applyFont="1" applyBorder="1" applyAlignment="1">
      <alignment horizontal="left" vertical="center"/>
    </xf>
    <xf numFmtId="180" fontId="7" fillId="0" borderId="12" xfId="0" applyNumberFormat="1" applyFont="1" applyBorder="1" applyAlignment="1">
      <alignment horizontal="left" vertical="center"/>
    </xf>
    <xf numFmtId="0" fontId="0" fillId="0" borderId="12" xfId="0" applyFont="1" applyBorder="1" applyAlignment="1">
      <alignment horizontal="center" vertical="center"/>
    </xf>
    <xf numFmtId="0" fontId="17" fillId="0" borderId="12" xfId="0" applyFont="1" applyFill="1" applyBorder="1" applyAlignment="1">
      <alignment horizontal="center" vertical="center"/>
    </xf>
    <xf numFmtId="180" fontId="0" fillId="0" borderId="1" xfId="0" applyNumberFormat="1" applyFont="1" applyBorder="1" applyAlignment="1">
      <alignment horizontal="center"/>
    </xf>
    <xf numFmtId="180" fontId="7" fillId="0" borderId="1" xfId="0" applyNumberFormat="1" applyFont="1" applyFill="1" applyBorder="1"/>
    <xf numFmtId="180" fontId="0" fillId="0" borderId="0" xfId="0" applyNumberFormat="1" applyFont="1"/>
    <xf numFmtId="188" fontId="7" fillId="0" borderId="0" xfId="0" applyNumberFormat="1" applyFont="1" applyFill="1"/>
    <xf numFmtId="0" fontId="0" fillId="2" borderId="0" xfId="0" applyFill="1" applyAlignment="1">
      <alignment horizontal="center" vertical="center"/>
    </xf>
    <xf numFmtId="0" fontId="9" fillId="2" borderId="0" xfId="0" applyFont="1" applyFill="1" applyAlignment="1">
      <alignment horizontal="center" vertical="center"/>
    </xf>
    <xf numFmtId="0" fontId="18" fillId="0" borderId="1" xfId="0" applyFont="1" applyBorder="1" applyAlignment="1">
      <alignment horizontal="center" vertical="center" wrapText="1"/>
    </xf>
    <xf numFmtId="0" fontId="18" fillId="0" borderId="1" xfId="0" applyFont="1" applyBorder="1" applyAlignment="1">
      <alignment horizontal="center" vertical="center"/>
    </xf>
    <xf numFmtId="0" fontId="9" fillId="0" borderId="1" xfId="0" applyFont="1" applyBorder="1" applyAlignment="1">
      <alignment horizontal="center" vertical="center" wrapText="1"/>
    </xf>
    <xf numFmtId="190" fontId="19" fillId="0" borderId="1" xfId="0" applyNumberFormat="1" applyFont="1" applyFill="1" applyBorder="1" applyAlignment="1">
      <alignment horizontal="center" vertical="center" wrapText="1"/>
    </xf>
    <xf numFmtId="0" fontId="20" fillId="0" borderId="1" xfId="0" applyFont="1" applyFill="1" applyBorder="1" applyAlignment="1">
      <alignment horizontal="center" vertical="center" wrapText="1"/>
    </xf>
    <xf numFmtId="0" fontId="21" fillId="0" borderId="1" xfId="0" applyFont="1" applyFill="1" applyBorder="1" applyAlignment="1">
      <alignment horizontal="center" vertical="center" wrapText="1"/>
    </xf>
    <xf numFmtId="0" fontId="19" fillId="0" borderId="1" xfId="0" applyFont="1" applyFill="1" applyBorder="1" applyAlignment="1">
      <alignment horizontal="center" vertical="center" wrapText="1"/>
    </xf>
    <xf numFmtId="0" fontId="22" fillId="0" borderId="1" xfId="0" applyFont="1" applyFill="1" applyBorder="1" applyAlignment="1">
      <alignment horizontal="center" vertical="center" wrapText="1"/>
    </xf>
    <xf numFmtId="191" fontId="0" fillId="0" borderId="1" xfId="0" applyNumberFormat="1" applyFont="1" applyFill="1" applyBorder="1" applyAlignment="1">
      <alignment horizontal="center" vertical="center"/>
    </xf>
    <xf numFmtId="192" fontId="22" fillId="0" borderId="1" xfId="0" applyNumberFormat="1" applyFont="1" applyFill="1" applyBorder="1" applyAlignment="1">
      <alignment horizontal="center" vertical="center" wrapText="1"/>
    </xf>
    <xf numFmtId="184" fontId="23" fillId="0" borderId="1" xfId="0" applyNumberFormat="1" applyFont="1" applyFill="1" applyBorder="1" applyAlignment="1">
      <alignment horizontal="center" vertical="center" wrapText="1"/>
    </xf>
    <xf numFmtId="191" fontId="22" fillId="0" borderId="1" xfId="1" applyNumberFormat="1" applyFont="1" applyFill="1" applyBorder="1" applyAlignment="1">
      <alignment horizontal="center" vertical="center" wrapText="1"/>
    </xf>
    <xf numFmtId="193" fontId="22" fillId="0" borderId="1" xfId="0" applyNumberFormat="1" applyFont="1" applyFill="1" applyBorder="1" applyAlignment="1">
      <alignment horizontal="center" vertical="center" wrapText="1"/>
    </xf>
    <xf numFmtId="0" fontId="9" fillId="0" borderId="1" xfId="0" applyFont="1" applyFill="1" applyBorder="1" applyAlignment="1">
      <alignment horizontal="center" vertical="center"/>
    </xf>
    <xf numFmtId="0" fontId="0" fillId="0" borderId="1" xfId="0" applyFont="1" applyFill="1" applyBorder="1" applyAlignment="1">
      <alignment horizontal="center" vertical="center"/>
    </xf>
    <xf numFmtId="0" fontId="24" fillId="0" borderId="1" xfId="0" applyFont="1" applyFill="1" applyBorder="1" applyAlignment="1">
      <alignment horizontal="center" vertical="center" wrapText="1"/>
    </xf>
    <xf numFmtId="192" fontId="25" fillId="0" borderId="1" xfId="0" applyNumberFormat="1" applyFont="1" applyFill="1" applyBorder="1" applyAlignment="1">
      <alignment horizontal="center" vertical="center" wrapText="1"/>
    </xf>
    <xf numFmtId="10" fontId="25" fillId="0" borderId="1" xfId="0" applyNumberFormat="1" applyFont="1" applyFill="1" applyBorder="1" applyAlignment="1">
      <alignment horizontal="center" vertical="center" wrapText="1"/>
    </xf>
    <xf numFmtId="10" fontId="22" fillId="0" borderId="1" xfId="0" applyNumberFormat="1" applyFont="1" applyFill="1" applyBorder="1" applyAlignment="1">
      <alignment horizontal="center" vertical="center" wrapText="1"/>
    </xf>
    <xf numFmtId="184" fontId="22" fillId="0" borderId="1" xfId="0" applyNumberFormat="1" applyFont="1" applyBorder="1" applyAlignment="1">
      <alignment horizontal="center" vertical="center" wrapText="1"/>
    </xf>
    <xf numFmtId="184" fontId="0" fillId="0" borderId="1" xfId="0" applyNumberFormat="1" applyFont="1" applyBorder="1" applyAlignment="1">
      <alignment horizontal="center" vertical="center"/>
    </xf>
    <xf numFmtId="180" fontId="0" fillId="0" borderId="1" xfId="0" applyNumberFormat="1" applyFont="1" applyFill="1" applyBorder="1" applyAlignment="1">
      <alignment horizontal="center" vertical="center" wrapText="1"/>
    </xf>
    <xf numFmtId="0" fontId="26" fillId="5" borderId="1" xfId="0" applyFont="1" applyFill="1" applyBorder="1" applyAlignment="1">
      <alignment horizontal="right" vertical="center"/>
    </xf>
    <xf numFmtId="194" fontId="26" fillId="5" borderId="5" xfId="0" applyNumberFormat="1" applyFont="1" applyFill="1" applyBorder="1" applyAlignment="1">
      <alignment vertical="center"/>
    </xf>
    <xf numFmtId="0" fontId="9" fillId="0" borderId="1" xfId="0" applyFont="1" applyBorder="1" applyAlignment="1">
      <alignment vertical="center"/>
    </xf>
    <xf numFmtId="0" fontId="9" fillId="0" borderId="1" xfId="0" applyFont="1" applyBorder="1" applyAlignment="1">
      <alignment horizontal="center" vertical="center"/>
    </xf>
    <xf numFmtId="0" fontId="9" fillId="0" borderId="13" xfId="0" applyFont="1" applyBorder="1" applyAlignment="1">
      <alignment horizontal="center" vertical="center" wrapText="1"/>
    </xf>
    <xf numFmtId="0" fontId="27" fillId="0" borderId="2" xfId="0" applyFont="1" applyBorder="1" applyAlignment="1">
      <alignment horizontal="left" vertical="center"/>
    </xf>
    <xf numFmtId="0" fontId="27" fillId="0" borderId="3" xfId="0" applyFont="1" applyBorder="1" applyAlignment="1">
      <alignment horizontal="left" vertical="center"/>
    </xf>
    <xf numFmtId="195" fontId="27" fillId="0" borderId="1" xfId="0" applyNumberFormat="1" applyFont="1" applyBorder="1" applyAlignment="1">
      <alignment horizontal="center" vertical="center"/>
    </xf>
    <xf numFmtId="194" fontId="9" fillId="0" borderId="5" xfId="0" applyNumberFormat="1" applyFont="1" applyBorder="1" applyAlignment="1">
      <alignment vertical="center"/>
    </xf>
    <xf numFmtId="0" fontId="9" fillId="0" borderId="17" xfId="0" applyFont="1" applyBorder="1" applyAlignment="1">
      <alignment horizontal="center" vertical="center"/>
    </xf>
    <xf numFmtId="9" fontId="0" fillId="0" borderId="1" xfId="0" applyNumberFormat="1" applyBorder="1" applyAlignment="1">
      <alignment horizontal="center" vertical="center"/>
    </xf>
    <xf numFmtId="0" fontId="9" fillId="0" borderId="14" xfId="0" applyFont="1" applyBorder="1" applyAlignment="1">
      <alignment horizontal="center" vertical="center"/>
    </xf>
    <xf numFmtId="0" fontId="9" fillId="6" borderId="1" xfId="0" applyFont="1" applyFill="1" applyBorder="1" applyAlignment="1">
      <alignment horizontal="center" vertical="center"/>
    </xf>
    <xf numFmtId="0" fontId="9" fillId="6" borderId="0" xfId="0" applyFont="1" applyFill="1" applyAlignment="1">
      <alignment horizontal="right" vertical="center"/>
    </xf>
    <xf numFmtId="194" fontId="9" fillId="6" borderId="5" xfId="0" applyNumberFormat="1" applyFont="1" applyFill="1" applyBorder="1" applyAlignment="1">
      <alignment vertical="center"/>
    </xf>
    <xf numFmtId="0" fontId="28" fillId="5" borderId="5" xfId="0" applyFont="1" applyFill="1" applyBorder="1" applyAlignment="1">
      <alignment horizontal="right" vertical="center"/>
    </xf>
    <xf numFmtId="0" fontId="28" fillId="5" borderId="7" xfId="0" applyFont="1" applyFill="1" applyBorder="1" applyAlignment="1">
      <alignment horizontal="right" vertical="center"/>
    </xf>
    <xf numFmtId="194" fontId="28" fillId="5" borderId="5" xfId="0" applyNumberFormat="1" applyFont="1" applyFill="1" applyBorder="1" applyAlignment="1">
      <alignment vertical="center"/>
    </xf>
    <xf numFmtId="0" fontId="9" fillId="0" borderId="1" xfId="0" applyFont="1" applyFill="1" applyBorder="1" applyAlignment="1">
      <alignment horizontal="center" vertical="center" wrapText="1"/>
    </xf>
    <xf numFmtId="0" fontId="0" fillId="0" borderId="1" xfId="0" applyFill="1" applyBorder="1" applyAlignment="1">
      <alignment horizontal="center" vertical="center" wrapText="1"/>
    </xf>
    <xf numFmtId="0" fontId="9" fillId="0" borderId="8" xfId="0" applyFont="1" applyBorder="1" applyAlignment="1">
      <alignment horizontal="center" vertical="center" wrapText="1"/>
    </xf>
    <xf numFmtId="0" fontId="9" fillId="0" borderId="12" xfId="0" applyFont="1" applyBorder="1" applyAlignment="1">
      <alignment horizontal="center" vertical="center"/>
    </xf>
    <xf numFmtId="0" fontId="27" fillId="0" borderId="2" xfId="0" applyFont="1" applyBorder="1" applyAlignment="1">
      <alignment horizontal="left" vertical="center" wrapText="1"/>
    </xf>
    <xf numFmtId="0" fontId="27" fillId="0" borderId="3" xfId="0" applyFont="1" applyBorder="1" applyAlignment="1">
      <alignment horizontal="left" vertical="center" wrapText="1"/>
    </xf>
    <xf numFmtId="0" fontId="29" fillId="0" borderId="1" xfId="0" applyFont="1" applyBorder="1" applyAlignment="1">
      <alignment horizontal="center" vertical="center" wrapText="1"/>
    </xf>
    <xf numFmtId="0" fontId="0" fillId="0" borderId="14" xfId="0" applyBorder="1" applyAlignment="1">
      <alignment horizontal="center" vertical="center"/>
    </xf>
    <xf numFmtId="0" fontId="0" fillId="0" borderId="13" xfId="0" applyBorder="1" applyAlignment="1">
      <alignment horizontal="center" vertical="center"/>
    </xf>
    <xf numFmtId="0" fontId="27" fillId="0" borderId="5" xfId="0" applyFont="1" applyBorder="1" applyAlignment="1">
      <alignment horizontal="left" vertical="center"/>
    </xf>
    <xf numFmtId="0" fontId="27" fillId="0" borderId="6" xfId="0" applyFont="1" applyBorder="1" applyAlignment="1">
      <alignment horizontal="left" vertical="center"/>
    </xf>
    <xf numFmtId="195" fontId="27" fillId="0" borderId="13" xfId="0" applyNumberFormat="1" applyFont="1" applyBorder="1" applyAlignment="1">
      <alignment horizontal="center" vertical="center"/>
    </xf>
    <xf numFmtId="0" fontId="9" fillId="6" borderId="1" xfId="0" applyFont="1" applyFill="1" applyBorder="1" applyAlignment="1">
      <alignment horizontal="right" vertical="center"/>
    </xf>
    <xf numFmtId="194" fontId="9" fillId="6" borderId="1" xfId="0" applyNumberFormat="1" applyFont="1" applyFill="1" applyBorder="1" applyAlignment="1">
      <alignment vertical="center"/>
    </xf>
    <xf numFmtId="0" fontId="28" fillId="5" borderId="2" xfId="0" applyFont="1" applyFill="1" applyBorder="1" applyAlignment="1">
      <alignment horizontal="right" vertical="center"/>
    </xf>
    <xf numFmtId="0" fontId="28" fillId="5" borderId="4" xfId="0" applyFont="1" applyFill="1" applyBorder="1" applyAlignment="1">
      <alignment horizontal="right" vertical="center"/>
    </xf>
    <xf numFmtId="194" fontId="28" fillId="5" borderId="1" xfId="0" applyNumberFormat="1" applyFont="1" applyFill="1" applyBorder="1" applyAlignment="1">
      <alignment vertical="center"/>
    </xf>
    <xf numFmtId="0" fontId="0" fillId="7" borderId="13" xfId="0" applyFill="1" applyBorder="1" applyAlignment="1">
      <alignment horizontal="center" vertical="center"/>
    </xf>
    <xf numFmtId="0" fontId="0" fillId="7" borderId="1" xfId="0" applyFill="1" applyBorder="1" applyAlignment="1">
      <alignment horizontal="center" vertical="center"/>
    </xf>
    <xf numFmtId="0" fontId="18" fillId="0" borderId="2" xfId="0" applyFont="1" applyBorder="1" applyAlignment="1">
      <alignment horizontal="right" vertical="center" wrapText="1"/>
    </xf>
    <xf numFmtId="0" fontId="18" fillId="0" borderId="3" xfId="0" applyFont="1" applyBorder="1" applyAlignment="1">
      <alignment horizontal="right" vertical="center" wrapText="1"/>
    </xf>
    <xf numFmtId="0" fontId="18" fillId="0" borderId="4" xfId="0" applyFont="1" applyBorder="1" applyAlignment="1">
      <alignment horizontal="right" vertical="center" wrapText="1"/>
    </xf>
    <xf numFmtId="191" fontId="30" fillId="0" borderId="1" xfId="1" applyNumberFormat="1" applyFont="1" applyFill="1" applyBorder="1" applyAlignment="1">
      <alignment horizontal="center" vertical="center" wrapText="1"/>
    </xf>
    <xf numFmtId="10" fontId="31" fillId="0" borderId="1" xfId="0" applyNumberFormat="1" applyFont="1" applyFill="1" applyBorder="1" applyAlignment="1">
      <alignment horizontal="center" vertical="center" wrapText="1"/>
    </xf>
    <xf numFmtId="0" fontId="26" fillId="5" borderId="1" xfId="0" applyFont="1" applyFill="1" applyBorder="1" applyAlignment="1">
      <alignment horizontal="justify" vertical="center" wrapText="1"/>
    </xf>
    <xf numFmtId="196" fontId="26" fillId="5" borderId="5" xfId="0" applyNumberFormat="1" applyFont="1" applyFill="1" applyBorder="1" applyAlignment="1">
      <alignment vertical="center"/>
    </xf>
    <xf numFmtId="197" fontId="27" fillId="0" borderId="1" xfId="0" applyNumberFormat="1" applyFont="1" applyBorder="1" applyAlignment="1">
      <alignment horizontal="center" vertical="center"/>
    </xf>
    <xf numFmtId="196" fontId="9" fillId="0" borderId="5" xfId="0" applyNumberFormat="1" applyFont="1" applyBorder="1" applyAlignment="1">
      <alignment vertical="center"/>
    </xf>
    <xf numFmtId="0" fontId="32" fillId="8" borderId="1" xfId="0" applyFont="1" applyFill="1" applyBorder="1" applyAlignment="1">
      <alignment horizontal="center" vertical="center"/>
    </xf>
    <xf numFmtId="9" fontId="0" fillId="0" borderId="1" xfId="0" applyNumberFormat="1" applyBorder="1" applyAlignment="1">
      <alignment horizontal="center" vertical="center" wrapText="1"/>
    </xf>
    <xf numFmtId="0" fontId="9" fillId="7" borderId="0" xfId="0" applyFont="1" applyFill="1" applyAlignment="1">
      <alignment horizontal="right" vertical="center"/>
    </xf>
    <xf numFmtId="194" fontId="9" fillId="7" borderId="6" xfId="0" applyNumberFormat="1" applyFont="1" applyFill="1" applyBorder="1" applyAlignment="1">
      <alignment horizontal="left" vertical="center"/>
    </xf>
    <xf numFmtId="0" fontId="28" fillId="5" borderId="5" xfId="0" applyFont="1" applyFill="1" applyBorder="1" applyAlignment="1">
      <alignment horizontal="right" vertical="center" wrapText="1"/>
    </xf>
    <xf numFmtId="0" fontId="28" fillId="5" borderId="7" xfId="0" applyFont="1" applyFill="1" applyBorder="1" applyAlignment="1">
      <alignment horizontal="right" vertical="center" wrapText="1"/>
    </xf>
    <xf numFmtId="0" fontId="0" fillId="7" borderId="1" xfId="0" applyFill="1" applyBorder="1" applyAlignment="1">
      <alignment horizontal="center" vertical="center" wrapText="1"/>
    </xf>
    <xf numFmtId="198" fontId="27" fillId="0" borderId="1" xfId="0" applyNumberFormat="1" applyFont="1" applyBorder="1" applyAlignment="1">
      <alignment horizontal="center" vertical="center"/>
    </xf>
    <xf numFmtId="0" fontId="0" fillId="0" borderId="13" xfId="0" applyFill="1" applyBorder="1" applyAlignment="1">
      <alignment horizontal="left" vertical="center" wrapText="1"/>
    </xf>
    <xf numFmtId="0" fontId="28" fillId="5" borderId="5" xfId="0" applyFont="1" applyFill="1" applyBorder="1" applyAlignment="1">
      <alignment horizontal="center" vertical="center" wrapText="1"/>
    </xf>
    <xf numFmtId="0" fontId="28" fillId="5" borderId="7" xfId="0" applyFont="1" applyFill="1" applyBorder="1" applyAlignment="1">
      <alignment horizontal="center" vertical="center" wrapText="1"/>
    </xf>
    <xf numFmtId="0" fontId="27" fillId="0" borderId="5" xfId="0" applyFont="1" applyBorder="1" applyAlignment="1">
      <alignment horizontal="justify" vertical="center" wrapText="1"/>
    </xf>
    <xf numFmtId="0" fontId="27" fillId="0" borderId="6" xfId="0" applyFont="1" applyBorder="1" applyAlignment="1">
      <alignment horizontal="justify" vertical="center" wrapText="1"/>
    </xf>
    <xf numFmtId="199" fontId="27" fillId="0" borderId="1" xfId="0" applyNumberFormat="1" applyFont="1" applyBorder="1" applyAlignment="1">
      <alignment horizontal="center" vertical="center"/>
    </xf>
    <xf numFmtId="0" fontId="0" fillId="0" borderId="1" xfId="0" applyFill="1" applyBorder="1" applyAlignment="1">
      <alignment horizontal="justify" vertical="center" wrapText="1"/>
    </xf>
    <xf numFmtId="0" fontId="33" fillId="0" borderId="0" xfId="0" applyFont="1" applyAlignment="1">
      <alignment horizontal="justify"/>
    </xf>
    <xf numFmtId="0" fontId="27" fillId="4" borderId="5" xfId="0" applyFont="1" applyFill="1" applyBorder="1" applyAlignment="1">
      <alignment horizontal="justify" vertical="center" wrapText="1"/>
    </xf>
    <xf numFmtId="0" fontId="27" fillId="4" borderId="6" xfId="0" applyFont="1" applyFill="1" applyBorder="1" applyAlignment="1">
      <alignment horizontal="justify" vertical="center" wrapText="1"/>
    </xf>
    <xf numFmtId="200" fontId="27" fillId="4" borderId="1" xfId="0" applyNumberFormat="1" applyFont="1" applyFill="1" applyBorder="1" applyAlignment="1">
      <alignment horizontal="center" vertical="center"/>
    </xf>
    <xf numFmtId="196" fontId="9" fillId="4" borderId="5" xfId="0" applyNumberFormat="1" applyFont="1" applyFill="1" applyBorder="1" applyAlignment="1">
      <alignment vertical="center"/>
    </xf>
    <xf numFmtId="0" fontId="34" fillId="8" borderId="1" xfId="0" applyFont="1" applyFill="1" applyBorder="1" applyAlignment="1">
      <alignment horizontal="center" vertical="center" wrapText="1"/>
    </xf>
    <xf numFmtId="200" fontId="27" fillId="0" borderId="1" xfId="0" applyNumberFormat="1" applyFont="1" applyBorder="1" applyAlignment="1">
      <alignment horizontal="center" vertical="center"/>
    </xf>
    <xf numFmtId="0" fontId="9" fillId="7" borderId="2" xfId="0" applyFont="1" applyFill="1" applyBorder="1" applyAlignment="1">
      <alignment horizontal="right" vertical="center"/>
    </xf>
    <xf numFmtId="0" fontId="9" fillId="7" borderId="3" xfId="0" applyFont="1" applyFill="1" applyBorder="1" applyAlignment="1">
      <alignment horizontal="right" vertical="center"/>
    </xf>
    <xf numFmtId="194" fontId="9" fillId="7" borderId="4" xfId="0" applyNumberFormat="1" applyFont="1" applyFill="1" applyBorder="1" applyAlignment="1">
      <alignment horizontal="left" vertical="center"/>
    </xf>
    <xf numFmtId="0" fontId="28" fillId="5" borderId="2" xfId="0" applyFont="1" applyFill="1" applyBorder="1" applyAlignment="1">
      <alignment horizontal="center" vertical="center" wrapText="1"/>
    </xf>
    <xf numFmtId="0" fontId="28" fillId="5" borderId="4" xfId="0" applyFont="1" applyFill="1" applyBorder="1" applyAlignment="1">
      <alignment horizontal="center" vertical="center" wrapText="1"/>
    </xf>
    <xf numFmtId="0" fontId="28" fillId="5" borderId="1" xfId="0" applyFont="1" applyFill="1" applyBorder="1" applyAlignment="1">
      <alignment horizontal="center" vertical="center" wrapText="1"/>
    </xf>
    <xf numFmtId="0" fontId="0" fillId="0" borderId="1" xfId="0" applyFill="1" applyBorder="1" applyAlignment="1">
      <alignment horizontal="left" vertical="center" wrapText="1"/>
    </xf>
    <xf numFmtId="0" fontId="27" fillId="0" borderId="5" xfId="0" applyFont="1" applyBorder="1" applyAlignment="1">
      <alignment horizontal="left" vertical="center" wrapText="1"/>
    </xf>
    <xf numFmtId="0" fontId="0" fillId="0" borderId="13" xfId="0" applyFill="1" applyBorder="1" applyAlignment="1">
      <alignment horizontal="left" vertical="center"/>
    </xf>
    <xf numFmtId="0" fontId="9" fillId="0" borderId="14" xfId="0" applyFont="1" applyBorder="1" applyAlignment="1">
      <alignment horizontal="center" vertical="center" wrapText="1"/>
    </xf>
    <xf numFmtId="201" fontId="27" fillId="4" borderId="1" xfId="0" applyNumberFormat="1" applyFont="1" applyFill="1" applyBorder="1" applyAlignment="1">
      <alignment horizontal="center" vertical="center"/>
    </xf>
    <xf numFmtId="194" fontId="9" fillId="4" borderId="5" xfId="0" applyNumberFormat="1" applyFont="1" applyFill="1" applyBorder="1" applyAlignment="1">
      <alignment vertical="center"/>
    </xf>
    <xf numFmtId="0" fontId="35" fillId="0" borderId="0" xfId="0" applyFont="1" applyFill="1" applyBorder="1" applyAlignment="1">
      <alignment horizontal="center" vertical="center"/>
    </xf>
    <xf numFmtId="0" fontId="36" fillId="0" borderId="0" xfId="0" applyFont="1" applyFill="1" applyBorder="1" applyAlignment="1">
      <alignment horizontal="center" vertical="center"/>
    </xf>
    <xf numFmtId="0" fontId="37" fillId="0" borderId="0" xfId="0" applyFont="1" applyFill="1" applyBorder="1" applyAlignment="1">
      <alignment vertical="center"/>
    </xf>
    <xf numFmtId="0" fontId="35" fillId="0" borderId="0" xfId="0" applyFont="1" applyFill="1" applyBorder="1" applyAlignment="1">
      <alignment horizontal="left" vertical="center"/>
    </xf>
    <xf numFmtId="0" fontId="35" fillId="0" borderId="0" xfId="0" applyFont="1" applyFill="1" applyBorder="1" applyAlignment="1">
      <alignment horizontal="center" vertical="center" wrapText="1"/>
    </xf>
    <xf numFmtId="181" fontId="35" fillId="0" borderId="0" xfId="0" applyNumberFormat="1" applyFont="1" applyFill="1" applyBorder="1" applyAlignment="1">
      <alignment horizontal="center" vertical="center"/>
    </xf>
    <xf numFmtId="0" fontId="38" fillId="0" borderId="0" xfId="0" applyFont="1" applyFill="1" applyBorder="1" applyAlignment="1">
      <alignment horizontal="center" vertical="center" wrapText="1"/>
    </xf>
    <xf numFmtId="0" fontId="36" fillId="0" borderId="1" xfId="0" applyFont="1" applyFill="1" applyBorder="1" applyAlignment="1">
      <alignment horizontal="center" vertical="center" wrapText="1"/>
    </xf>
    <xf numFmtId="181" fontId="36" fillId="0" borderId="1" xfId="0" applyNumberFormat="1" applyFont="1" applyFill="1" applyBorder="1" applyAlignment="1">
      <alignment horizontal="center" vertical="center" wrapText="1"/>
    </xf>
    <xf numFmtId="0" fontId="36" fillId="0" borderId="1" xfId="0" applyFont="1" applyFill="1" applyBorder="1" applyAlignment="1">
      <alignment horizontal="left" vertical="center" wrapText="1"/>
    </xf>
    <xf numFmtId="0" fontId="36" fillId="0" borderId="1" xfId="0" applyFont="1" applyFill="1" applyBorder="1" applyAlignment="1">
      <alignment horizontal="center" vertical="center"/>
    </xf>
    <xf numFmtId="181" fontId="36" fillId="0" borderId="1" xfId="0" applyNumberFormat="1" applyFont="1" applyFill="1" applyBorder="1" applyAlignment="1">
      <alignment horizontal="center" vertical="center"/>
    </xf>
    <xf numFmtId="0" fontId="35" fillId="0" borderId="1" xfId="0" applyFont="1" applyFill="1" applyBorder="1" applyAlignment="1">
      <alignment horizontal="center" vertical="center"/>
    </xf>
    <xf numFmtId="0" fontId="39" fillId="0" borderId="1" xfId="0" applyFont="1" applyFill="1" applyBorder="1" applyAlignment="1">
      <alignment horizontal="left" vertical="center" wrapText="1"/>
    </xf>
    <xf numFmtId="0" fontId="35" fillId="0" borderId="1" xfId="0" applyNumberFormat="1" applyFont="1" applyFill="1" applyBorder="1" applyAlignment="1">
      <alignment horizontal="left" vertical="center" wrapText="1"/>
    </xf>
    <xf numFmtId="0" fontId="35" fillId="0" borderId="1" xfId="0" applyNumberFormat="1" applyFont="1" applyFill="1" applyBorder="1" applyAlignment="1">
      <alignment horizontal="center" vertical="center"/>
    </xf>
    <xf numFmtId="181" fontId="35" fillId="0" borderId="1" xfId="0" applyNumberFormat="1" applyFont="1" applyFill="1" applyBorder="1" applyAlignment="1">
      <alignment horizontal="center" vertical="center"/>
    </xf>
    <xf numFmtId="191" fontId="35" fillId="0" borderId="1" xfId="0" applyNumberFormat="1" applyFont="1" applyFill="1" applyBorder="1" applyAlignment="1">
      <alignment horizontal="center" vertical="center"/>
    </xf>
    <xf numFmtId="0" fontId="35" fillId="0" borderId="13" xfId="0" applyFont="1" applyFill="1" applyBorder="1" applyAlignment="1">
      <alignment horizontal="center" vertical="center"/>
    </xf>
    <xf numFmtId="0" fontId="39" fillId="0" borderId="13" xfId="0" applyFont="1" applyFill="1" applyBorder="1" applyAlignment="1">
      <alignment horizontal="left" vertical="center" wrapText="1"/>
    </xf>
    <xf numFmtId="0" fontId="35" fillId="0" borderId="1" xfId="0" applyFont="1" applyFill="1" applyBorder="1" applyAlignment="1">
      <alignment horizontal="left" vertical="center" wrapText="1"/>
    </xf>
    <xf numFmtId="0" fontId="39" fillId="0" borderId="1" xfId="0" applyFont="1" applyFill="1" applyBorder="1" applyAlignment="1">
      <alignment vertical="center" wrapText="1"/>
    </xf>
    <xf numFmtId="0" fontId="35" fillId="0" borderId="1" xfId="49" applyNumberFormat="1" applyFont="1" applyFill="1" applyBorder="1" applyAlignment="1" applyProtection="1">
      <alignment horizontal="left" vertical="center" wrapText="1"/>
    </xf>
    <xf numFmtId="191" fontId="36" fillId="0" borderId="1" xfId="0" applyNumberFormat="1" applyFont="1" applyFill="1" applyBorder="1" applyAlignment="1">
      <alignment horizontal="center" vertical="center"/>
    </xf>
    <xf numFmtId="0" fontId="40" fillId="0" borderId="1" xfId="0" applyFont="1" applyFill="1" applyBorder="1" applyAlignment="1">
      <alignment horizontal="center" vertical="center"/>
    </xf>
    <xf numFmtId="191" fontId="41" fillId="0" borderId="18" xfId="0" applyNumberFormat="1" applyFont="1" applyFill="1" applyBorder="1" applyAlignment="1">
      <alignment horizontal="center" vertical="center" wrapText="1"/>
    </xf>
    <xf numFmtId="181" fontId="40" fillId="0" borderId="1" xfId="0" applyNumberFormat="1" applyFont="1" applyFill="1" applyBorder="1" applyAlignment="1">
      <alignment horizontal="center" vertical="center"/>
    </xf>
    <xf numFmtId="191" fontId="40" fillId="0" borderId="1" xfId="0" applyNumberFormat="1" applyFont="1" applyFill="1" applyBorder="1" applyAlignment="1">
      <alignment horizontal="center" vertical="center"/>
    </xf>
    <xf numFmtId="0" fontId="40" fillId="0" borderId="1" xfId="0" applyFont="1" applyFill="1" applyBorder="1" applyAlignment="1">
      <alignment horizontal="left" vertical="center" wrapText="1"/>
    </xf>
    <xf numFmtId="0" fontId="37" fillId="0" borderId="0" xfId="0" applyFont="1" applyFill="1" applyAlignment="1">
      <alignment horizontal="center" vertical="center"/>
    </xf>
    <xf numFmtId="0" fontId="37" fillId="0" borderId="0" xfId="0" applyFont="1" applyFill="1" applyAlignment="1">
      <alignment vertical="center"/>
    </xf>
    <xf numFmtId="0" fontId="35" fillId="0" borderId="1" xfId="0" applyFont="1" applyFill="1" applyBorder="1" applyAlignment="1">
      <alignment horizontal="center" vertical="center" wrapText="1"/>
    </xf>
    <xf numFmtId="0" fontId="42" fillId="0" borderId="1" xfId="0" applyFont="1" applyFill="1" applyBorder="1" applyAlignment="1">
      <alignment horizontal="left" vertical="center" wrapText="1"/>
    </xf>
    <xf numFmtId="0" fontId="36" fillId="0" borderId="1" xfId="0" applyFont="1" applyFill="1" applyBorder="1" applyAlignment="1">
      <alignment horizontal="left" vertical="center"/>
    </xf>
    <xf numFmtId="0" fontId="39" fillId="0" borderId="1" xfId="0" applyFont="1" applyFill="1" applyBorder="1" applyAlignment="1">
      <alignment horizontal="left" vertical="center"/>
    </xf>
    <xf numFmtId="202" fontId="35" fillId="0" borderId="1" xfId="0" applyNumberFormat="1" applyFont="1" applyFill="1" applyBorder="1" applyAlignment="1">
      <alignment horizontal="center" vertical="center"/>
    </xf>
    <xf numFmtId="182" fontId="36" fillId="0" borderId="1" xfId="0" applyNumberFormat="1" applyFont="1" applyFill="1" applyBorder="1" applyAlignment="1">
      <alignment horizontal="center" vertical="center"/>
    </xf>
    <xf numFmtId="190" fontId="35" fillId="0" borderId="0" xfId="0" applyNumberFormat="1" applyFont="1" applyFill="1" applyBorder="1" applyAlignment="1">
      <alignment horizontal="center" vertical="center"/>
    </xf>
    <xf numFmtId="203" fontId="35" fillId="0" borderId="0" xfId="0" applyNumberFormat="1" applyFont="1" applyFill="1" applyBorder="1" applyAlignment="1">
      <alignment horizontal="center" vertical="center"/>
    </xf>
    <xf numFmtId="182" fontId="35" fillId="0" borderId="0" xfId="0" applyNumberFormat="1" applyFont="1" applyFill="1" applyBorder="1" applyAlignment="1">
      <alignment horizontal="center" vertical="center"/>
    </xf>
    <xf numFmtId="204" fontId="35" fillId="0" borderId="0" xfId="0" applyNumberFormat="1" applyFont="1" applyFill="1" applyBorder="1" applyAlignment="1">
      <alignment horizontal="center" vertical="center"/>
    </xf>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9" fillId="0" borderId="21" xfId="0" applyFont="1" applyBorder="1" applyAlignment="1">
      <alignment horizontal="center" vertical="center"/>
    </xf>
    <xf numFmtId="0" fontId="43" fillId="2" borderId="22" xfId="0" applyFont="1" applyFill="1" applyBorder="1" applyAlignment="1">
      <alignment horizontal="center" vertical="center" wrapText="1"/>
    </xf>
    <xf numFmtId="0" fontId="44" fillId="9" borderId="23" xfId="0" applyFont="1" applyFill="1" applyBorder="1" applyAlignment="1">
      <alignment horizontal="center" vertical="center"/>
    </xf>
    <xf numFmtId="0" fontId="9" fillId="0" borderId="23" xfId="0" applyFont="1" applyBorder="1" applyAlignment="1">
      <alignment horizontal="center" vertical="center"/>
    </xf>
    <xf numFmtId="0" fontId="9" fillId="0" borderId="24" xfId="0" applyFont="1" applyFill="1" applyBorder="1" applyAlignment="1">
      <alignment horizontal="center" vertical="center"/>
    </xf>
    <xf numFmtId="0" fontId="9" fillId="0" borderId="25" xfId="0" applyFont="1" applyBorder="1" applyAlignment="1">
      <alignment horizontal="center" vertical="center"/>
    </xf>
    <xf numFmtId="192" fontId="9" fillId="0" borderId="1" xfId="1" applyNumberFormat="1" applyFont="1" applyFill="1" applyBorder="1" applyAlignment="1">
      <alignment horizontal="center" vertical="center"/>
    </xf>
    <xf numFmtId="192" fontId="9" fillId="0" borderId="26" xfId="1" applyNumberFormat="1" applyFont="1" applyFill="1" applyBorder="1" applyAlignment="1">
      <alignment horizontal="center" vertical="center"/>
    </xf>
    <xf numFmtId="0" fontId="9" fillId="0" borderId="25" xfId="0" applyFont="1" applyBorder="1" applyAlignment="1">
      <alignment vertical="center"/>
    </xf>
    <xf numFmtId="0" fontId="9" fillId="0" borderId="26" xfId="0" applyFont="1" applyBorder="1" applyAlignment="1">
      <alignment horizontal="center" vertical="center"/>
    </xf>
    <xf numFmtId="0" fontId="9" fillId="0" borderId="27" xfId="0" applyFont="1" applyBorder="1" applyAlignment="1">
      <alignment vertical="center"/>
    </xf>
    <xf numFmtId="0" fontId="9" fillId="0" borderId="28" xfId="0" applyFont="1" applyBorder="1" applyAlignment="1">
      <alignment vertical="center"/>
    </xf>
    <xf numFmtId="10" fontId="9" fillId="0" borderId="28" xfId="3" applyNumberFormat="1" applyFont="1" applyBorder="1" applyAlignment="1">
      <alignment horizontal="center" vertical="center"/>
    </xf>
    <xf numFmtId="10" fontId="9" fillId="0" borderId="29" xfId="3" applyNumberFormat="1" applyFont="1" applyBorder="1" applyAlignment="1">
      <alignment horizontal="center" vertical="center"/>
    </xf>
    <xf numFmtId="10" fontId="0" fillId="0" borderId="0" xfId="3" applyNumberFormat="1" applyAlignment="1">
      <alignment horizontal="center" vertical="center"/>
    </xf>
    <xf numFmtId="0" fontId="9" fillId="0" borderId="30" xfId="0" applyFont="1" applyBorder="1" applyAlignment="1">
      <alignment horizontal="center" vertical="center"/>
    </xf>
    <xf numFmtId="0" fontId="9" fillId="0" borderId="31"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4" xfId="0" applyFont="1" applyBorder="1" applyAlignment="1">
      <alignment horizontal="center" vertical="center"/>
    </xf>
    <xf numFmtId="0" fontId="9" fillId="0" borderId="35" xfId="0" applyFont="1" applyBorder="1" applyAlignment="1">
      <alignment horizontal="center" vertical="center"/>
    </xf>
    <xf numFmtId="0" fontId="45" fillId="10" borderId="36" xfId="0" applyFont="1" applyFill="1" applyBorder="1" applyAlignment="1">
      <alignment horizontal="center" vertical="center" wrapText="1"/>
    </xf>
    <xf numFmtId="0" fontId="45" fillId="10" borderId="37" xfId="0" applyFont="1" applyFill="1" applyBorder="1" applyAlignment="1">
      <alignment horizontal="center" vertical="center" wrapText="1"/>
    </xf>
    <xf numFmtId="0" fontId="45" fillId="10" borderId="38" xfId="0" applyFont="1" applyFill="1" applyBorder="1" applyAlignment="1">
      <alignment horizontal="center" vertical="center" wrapText="1"/>
    </xf>
    <xf numFmtId="0" fontId="45" fillId="10" borderId="35" xfId="0" applyFont="1" applyFill="1" applyBorder="1" applyAlignment="1">
      <alignment horizontal="center" vertical="center" wrapText="1"/>
    </xf>
    <xf numFmtId="0" fontId="45" fillId="10" borderId="39" xfId="0" applyFont="1" applyFill="1" applyBorder="1" applyAlignment="1">
      <alignment horizontal="center" vertical="center" wrapText="1"/>
    </xf>
    <xf numFmtId="0" fontId="45" fillId="0" borderId="36" xfId="0" applyFont="1" applyBorder="1" applyAlignment="1">
      <alignment horizontal="center" vertical="center" wrapText="1"/>
    </xf>
    <xf numFmtId="10" fontId="46" fillId="0" borderId="37" xfId="0" applyNumberFormat="1" applyFont="1" applyBorder="1" applyAlignment="1">
      <alignment horizontal="center" vertical="center" wrapText="1"/>
    </xf>
    <xf numFmtId="0" fontId="45" fillId="10" borderId="40" xfId="0" applyFont="1" applyFill="1" applyBorder="1" applyAlignment="1">
      <alignment horizontal="center" vertical="center" wrapText="1"/>
    </xf>
    <xf numFmtId="0" fontId="45" fillId="0" borderId="41" xfId="0" applyFont="1" applyBorder="1" applyAlignment="1">
      <alignment horizontal="center" vertical="center" wrapText="1"/>
    </xf>
    <xf numFmtId="9" fontId="47" fillId="0" borderId="42" xfId="0" applyNumberFormat="1" applyFont="1" applyBorder="1" applyAlignment="1">
      <alignment horizontal="center" vertical="center" wrapText="1"/>
    </xf>
    <xf numFmtId="10" fontId="48" fillId="0" borderId="42" xfId="0" applyNumberFormat="1" applyFont="1" applyBorder="1" applyAlignment="1">
      <alignment horizontal="center" vertical="center" wrapText="1"/>
    </xf>
    <xf numFmtId="10" fontId="48" fillId="0" borderId="43" xfId="0" applyNumberFormat="1" applyFont="1" applyBorder="1" applyAlignment="1">
      <alignment horizontal="center" vertical="center" wrapText="1"/>
    </xf>
    <xf numFmtId="0" fontId="45" fillId="0" borderId="44" xfId="0" applyFont="1" applyBorder="1" applyAlignment="1">
      <alignment horizontal="center" vertical="center" wrapText="1"/>
    </xf>
    <xf numFmtId="0" fontId="45" fillId="0" borderId="40" xfId="0" applyFont="1" applyBorder="1" applyAlignment="1">
      <alignment horizontal="center" vertical="center" wrapText="1"/>
    </xf>
    <xf numFmtId="192" fontId="49" fillId="0" borderId="40" xfId="1" applyNumberFormat="1" applyFont="1" applyBorder="1" applyAlignment="1">
      <alignment horizontal="center" vertical="center" wrapText="1"/>
    </xf>
    <xf numFmtId="9" fontId="48" fillId="0" borderId="37" xfId="0" applyNumberFormat="1" applyFont="1" applyBorder="1" applyAlignment="1">
      <alignment horizontal="center" vertical="center" wrapText="1"/>
    </xf>
    <xf numFmtId="0" fontId="46" fillId="0" borderId="44" xfId="0" applyFont="1" applyBorder="1" applyAlignment="1">
      <alignment horizontal="center" vertical="center" wrapText="1"/>
    </xf>
    <xf numFmtId="0" fontId="0" fillId="0" borderId="36" xfId="0" applyBorder="1" applyAlignment="1">
      <alignment vertical="center"/>
    </xf>
    <xf numFmtId="0" fontId="44" fillId="0" borderId="1" xfId="0" applyFont="1" applyBorder="1" applyAlignment="1">
      <alignment horizontal="center" vertical="center"/>
    </xf>
    <xf numFmtId="0" fontId="50" fillId="7" borderId="13" xfId="0" applyFont="1" applyFill="1" applyBorder="1" applyAlignment="1">
      <alignment horizontal="center" vertical="center" wrapText="1"/>
    </xf>
    <xf numFmtId="0" fontId="50" fillId="7" borderId="2" xfId="0" applyFont="1" applyFill="1" applyBorder="1" applyAlignment="1">
      <alignment horizontal="center" vertical="center" wrapText="1"/>
    </xf>
    <xf numFmtId="0" fontId="50" fillId="7" borderId="4" xfId="0" applyFont="1" applyFill="1" applyBorder="1" applyAlignment="1">
      <alignment horizontal="center" vertical="center" wrapText="1"/>
    </xf>
    <xf numFmtId="0" fontId="51" fillId="7" borderId="5" xfId="0" applyFont="1" applyFill="1" applyBorder="1" applyAlignment="1">
      <alignment horizontal="center" vertical="center" wrapText="1"/>
    </xf>
    <xf numFmtId="0" fontId="51" fillId="7" borderId="7" xfId="0" applyFont="1" applyFill="1" applyBorder="1" applyAlignment="1">
      <alignment horizontal="center" vertical="center" wrapText="1"/>
    </xf>
    <xf numFmtId="0" fontId="50" fillId="7" borderId="14" xfId="0" applyFont="1" applyFill="1" applyBorder="1" applyAlignment="1">
      <alignment horizontal="center" vertical="center" wrapText="1"/>
    </xf>
    <xf numFmtId="0" fontId="50" fillId="7" borderId="1" xfId="0" applyFont="1" applyFill="1" applyBorder="1" applyAlignment="1">
      <alignment horizontal="center" vertical="center" wrapText="1"/>
    </xf>
    <xf numFmtId="0" fontId="51" fillId="7" borderId="10" xfId="0" applyFont="1" applyFill="1" applyBorder="1" applyAlignment="1">
      <alignment horizontal="center" vertical="center" wrapText="1"/>
    </xf>
    <xf numFmtId="0" fontId="51" fillId="7" borderId="12" xfId="0" applyFont="1" applyFill="1" applyBorder="1" applyAlignment="1">
      <alignment horizontal="center" vertical="center" wrapText="1"/>
    </xf>
    <xf numFmtId="182" fontId="52" fillId="0" borderId="1" xfId="0" applyNumberFormat="1" applyFont="1" applyFill="1" applyBorder="1" applyAlignment="1">
      <alignment horizontal="center" vertical="center"/>
    </xf>
    <xf numFmtId="182" fontId="53" fillId="0" borderId="1" xfId="0" applyNumberFormat="1" applyFont="1" applyFill="1" applyBorder="1" applyAlignment="1">
      <alignment horizontal="center" vertical="center"/>
    </xf>
    <xf numFmtId="182" fontId="54" fillId="0" borderId="1" xfId="0" applyNumberFormat="1" applyFont="1" applyFill="1" applyBorder="1" applyAlignment="1">
      <alignment horizontal="center" vertical="center"/>
    </xf>
    <xf numFmtId="182" fontId="55" fillId="0" borderId="1" xfId="0" applyNumberFormat="1" applyFont="1" applyFill="1" applyBorder="1" applyAlignment="1">
      <alignment horizontal="center" vertical="center"/>
    </xf>
    <xf numFmtId="10" fontId="52" fillId="0" borderId="1" xfId="3" applyNumberFormat="1" applyFont="1" applyBorder="1" applyAlignment="1">
      <alignment horizontal="center" vertical="center"/>
    </xf>
    <xf numFmtId="0" fontId="20" fillId="0" borderId="2" xfId="0" applyFont="1" applyBorder="1" applyAlignment="1">
      <alignment horizontal="center" vertical="center"/>
    </xf>
    <xf numFmtId="0" fontId="20" fillId="0" borderId="4" xfId="0" applyFont="1" applyBorder="1" applyAlignment="1">
      <alignment horizontal="center" vertical="center"/>
    </xf>
    <xf numFmtId="182" fontId="56" fillId="0" borderId="1" xfId="0" applyNumberFormat="1" applyFont="1" applyFill="1" applyBorder="1" applyAlignment="1">
      <alignment horizontal="center" vertical="center"/>
    </xf>
    <xf numFmtId="182" fontId="53" fillId="0" borderId="2" xfId="0" applyNumberFormat="1" applyFont="1" applyFill="1" applyBorder="1" applyAlignment="1">
      <alignment horizontal="center" vertical="center"/>
    </xf>
    <xf numFmtId="182" fontId="53" fillId="0" borderId="4" xfId="0" applyNumberFormat="1" applyFont="1" applyFill="1" applyBorder="1" applyAlignment="1">
      <alignment horizontal="center" vertical="center"/>
    </xf>
    <xf numFmtId="10" fontId="56" fillId="0" borderId="1" xfId="3" applyNumberFormat="1" applyFont="1" applyBorder="1" applyAlignment="1">
      <alignment horizontal="center" vertical="center"/>
    </xf>
    <xf numFmtId="10" fontId="57" fillId="0" borderId="1" xfId="3" applyNumberFormat="1" applyFont="1" applyBorder="1" applyAlignment="1">
      <alignment horizontal="center" vertical="center"/>
    </xf>
    <xf numFmtId="0" fontId="0" fillId="0" borderId="13" xfId="0" applyBorder="1" applyAlignment="1">
      <alignment horizontal="center" vertical="center" wrapText="1"/>
    </xf>
    <xf numFmtId="0" fontId="0" fillId="0" borderId="17" xfId="0" applyBorder="1" applyAlignment="1">
      <alignment horizontal="center" vertical="center"/>
    </xf>
    <xf numFmtId="0" fontId="0" fillId="0" borderId="1" xfId="0" applyBorder="1" applyAlignment="1">
      <alignment vertical="center"/>
    </xf>
    <xf numFmtId="0" fontId="58" fillId="0" borderId="0" xfId="0" applyFont="1" applyFill="1" applyAlignment="1">
      <alignment vertical="center"/>
    </xf>
    <xf numFmtId="0" fontId="59" fillId="0" borderId="1" xfId="0" applyFont="1" applyFill="1" applyBorder="1" applyAlignment="1">
      <alignment horizontal="justify" vertical="center"/>
    </xf>
    <xf numFmtId="0" fontId="59" fillId="0" borderId="1" xfId="0" applyFont="1" applyFill="1" applyBorder="1" applyAlignment="1">
      <alignment horizontal="justify" vertical="center"/>
    </xf>
    <xf numFmtId="0" fontId="60" fillId="0" borderId="0" xfId="0" applyFont="1" applyFill="1" applyAlignment="1">
      <alignment vertical="center"/>
    </xf>
    <xf numFmtId="0" fontId="61" fillId="0" borderId="1" xfId="0" applyFont="1" applyFill="1" applyBorder="1" applyAlignment="1">
      <alignment horizontal="justify" vertical="center"/>
    </xf>
    <xf numFmtId="0" fontId="61" fillId="0" borderId="1" xfId="0" applyFont="1" applyFill="1" applyBorder="1" applyAlignment="1">
      <alignment horizontal="justify" vertical="center"/>
    </xf>
    <xf numFmtId="0" fontId="60" fillId="0" borderId="0" xfId="0" applyFont="1" applyFill="1" applyAlignment="1">
      <alignment horizontal="justify" vertical="center"/>
    </xf>
    <xf numFmtId="0" fontId="54" fillId="0" borderId="1" xfId="0" applyFont="1" applyFill="1" applyBorder="1" applyAlignment="1">
      <alignment vertical="center"/>
    </xf>
    <xf numFmtId="0" fontId="58" fillId="0" borderId="1" xfId="0" applyFont="1" applyFill="1" applyBorder="1" applyAlignment="1">
      <alignment vertical="center"/>
    </xf>
    <xf numFmtId="0" fontId="58" fillId="0" borderId="1" xfId="0" applyFont="1" applyFill="1" applyBorder="1" applyAlignment="1">
      <alignment vertical="center" wrapText="1"/>
    </xf>
    <xf numFmtId="10" fontId="58" fillId="0" borderId="1" xfId="0" applyNumberFormat="1" applyFont="1" applyFill="1" applyBorder="1" applyAlignment="1">
      <alignment vertical="center"/>
    </xf>
    <xf numFmtId="2" fontId="58" fillId="11" borderId="1" xfId="0" applyNumberFormat="1" applyFont="1" applyFill="1" applyBorder="1" applyAlignment="1">
      <alignment vertical="center"/>
    </xf>
    <xf numFmtId="10" fontId="58" fillId="11" borderId="1" xfId="0" applyNumberFormat="1" applyFont="1" applyFill="1" applyBorder="1" applyAlignment="1">
      <alignment vertical="center"/>
    </xf>
    <xf numFmtId="2" fontId="58" fillId="0" borderId="1" xfId="0" applyNumberFormat="1" applyFont="1" applyFill="1" applyBorder="1" applyAlignment="1">
      <alignment vertical="center"/>
    </xf>
    <xf numFmtId="10" fontId="53" fillId="0" borderId="1" xfId="0" applyNumberFormat="1" applyFont="1" applyFill="1" applyBorder="1" applyAlignment="1">
      <alignment vertical="center"/>
    </xf>
    <xf numFmtId="0" fontId="62" fillId="0" borderId="1" xfId="0" applyFont="1" applyFill="1" applyBorder="1" applyAlignment="1">
      <alignment horizontal="justify" vertical="center" wrapText="1"/>
    </xf>
    <xf numFmtId="0" fontId="62" fillId="0" borderId="0" xfId="0" applyFont="1" applyFill="1" applyAlignment="1">
      <alignment vertical="center" wrapText="1"/>
    </xf>
    <xf numFmtId="0" fontId="54" fillId="0" borderId="0" xfId="0" applyFont="1" applyFill="1" applyAlignment="1">
      <alignment vertical="center"/>
    </xf>
    <xf numFmtId="0" fontId="63" fillId="12" borderId="45" xfId="0" applyFont="1" applyFill="1" applyBorder="1" applyAlignment="1">
      <alignment vertical="center"/>
    </xf>
    <xf numFmtId="0" fontId="58" fillId="0" borderId="45" xfId="0" applyFont="1" applyFill="1" applyBorder="1" applyAlignment="1">
      <alignment vertical="center"/>
    </xf>
    <xf numFmtId="10" fontId="58" fillId="0" borderId="45" xfId="0" applyNumberFormat="1" applyFont="1" applyFill="1" applyBorder="1" applyAlignment="1">
      <alignment vertical="center"/>
    </xf>
    <xf numFmtId="2" fontId="58" fillId="0" borderId="45" xfId="0" applyNumberFormat="1" applyFont="1" applyFill="1" applyBorder="1" applyAlignment="1">
      <alignment vertical="center"/>
    </xf>
    <xf numFmtId="10" fontId="54" fillId="13" borderId="45" xfId="0" applyNumberFormat="1" applyFont="1" applyFill="1" applyBorder="1" applyAlignment="1">
      <alignment vertical="center"/>
    </xf>
    <xf numFmtId="205" fontId="63" fillId="12" borderId="45" xfId="0" applyNumberFormat="1" applyFont="1" applyFill="1" applyBorder="1" applyAlignment="1">
      <alignment horizontal="center" vertical="center"/>
    </xf>
    <xf numFmtId="183" fontId="58" fillId="14" borderId="45" xfId="0" applyNumberFormat="1" applyFont="1" applyFill="1" applyBorder="1" applyAlignment="1">
      <alignment horizontal="center" vertical="center"/>
    </xf>
    <xf numFmtId="10" fontId="58" fillId="0" borderId="45" xfId="0" applyNumberFormat="1" applyFont="1" applyFill="1" applyBorder="1" applyAlignment="1">
      <alignment horizontal="center" vertical="center"/>
    </xf>
    <xf numFmtId="0" fontId="64" fillId="0" borderId="0" xfId="0" applyFont="1" applyFill="1" applyAlignment="1">
      <alignment vertical="center"/>
    </xf>
    <xf numFmtId="0" fontId="65" fillId="2" borderId="0" xfId="0" applyFont="1" applyFill="1" applyAlignment="1">
      <alignment horizontal="center" vertical="center" wrapText="1"/>
    </xf>
    <xf numFmtId="0" fontId="65" fillId="0" borderId="0" xfId="0" applyFont="1" applyBorder="1" applyAlignment="1">
      <alignment horizontal="center" vertical="center" wrapText="1"/>
    </xf>
    <xf numFmtId="0" fontId="22" fillId="0" borderId="0" xfId="0" applyFont="1" applyAlignment="1">
      <alignment vertical="center" wrapText="1"/>
    </xf>
    <xf numFmtId="0" fontId="65" fillId="0" borderId="0" xfId="0" applyFont="1" applyAlignment="1">
      <alignment horizontal="center" vertical="center" wrapText="1"/>
    </xf>
    <xf numFmtId="0" fontId="65" fillId="2" borderId="0" xfId="0" applyFont="1" applyFill="1" applyBorder="1" applyAlignment="1">
      <alignment horizontal="center" vertical="center" wrapText="1"/>
    </xf>
    <xf numFmtId="0" fontId="65" fillId="2" borderId="0" xfId="0" applyFont="1" applyFill="1" applyAlignment="1">
      <alignment horizontal="left" vertical="center" wrapText="1"/>
    </xf>
    <xf numFmtId="206" fontId="65" fillId="2" borderId="0" xfId="0" applyNumberFormat="1" applyFont="1" applyFill="1" applyAlignment="1">
      <alignment horizontal="center" vertical="center" wrapText="1"/>
    </xf>
    <xf numFmtId="0" fontId="26" fillId="5" borderId="33" xfId="0" applyFont="1" applyFill="1" applyBorder="1" applyAlignment="1" applyProtection="1">
      <alignment horizontal="right" vertical="center" wrapText="1"/>
    </xf>
    <xf numFmtId="0" fontId="26" fillId="5" borderId="34" xfId="0" applyFont="1" applyFill="1" applyBorder="1" applyAlignment="1" applyProtection="1">
      <alignment horizontal="right" vertical="center" wrapText="1"/>
    </xf>
    <xf numFmtId="0" fontId="26" fillId="5" borderId="35" xfId="0" applyFont="1" applyFill="1" applyBorder="1" applyAlignment="1" applyProtection="1">
      <alignment horizontal="right" vertical="center" wrapText="1"/>
    </xf>
    <xf numFmtId="0" fontId="51" fillId="2" borderId="46" xfId="0" applyFont="1" applyFill="1" applyBorder="1" applyAlignment="1">
      <alignment horizontal="center" vertical="center" wrapText="1"/>
    </xf>
    <xf numFmtId="0" fontId="25" fillId="2" borderId="47" xfId="0" applyFont="1" applyFill="1" applyBorder="1" applyAlignment="1">
      <alignment horizontal="center" vertical="center" wrapText="1"/>
    </xf>
    <xf numFmtId="0" fontId="25" fillId="2" borderId="39" xfId="0" applyFont="1" applyFill="1" applyBorder="1" applyAlignment="1">
      <alignment horizontal="center" vertical="center" wrapText="1"/>
    </xf>
    <xf numFmtId="0" fontId="25" fillId="2" borderId="48" xfId="0" applyFont="1" applyFill="1" applyBorder="1" applyAlignment="1">
      <alignment horizontal="center" vertical="center" wrapText="1"/>
    </xf>
    <xf numFmtId="0" fontId="25" fillId="2" borderId="49" xfId="0" applyFont="1" applyFill="1" applyBorder="1" applyAlignment="1">
      <alignment horizontal="center" vertical="center" wrapText="1"/>
    </xf>
    <xf numFmtId="0" fontId="25" fillId="2" borderId="0" xfId="0" applyFont="1" applyFill="1" applyBorder="1" applyAlignment="1">
      <alignment horizontal="center" vertical="center" wrapText="1"/>
    </xf>
    <xf numFmtId="0" fontId="25" fillId="2" borderId="40" xfId="0" applyFont="1" applyFill="1" applyBorder="1" applyAlignment="1">
      <alignment horizontal="center" vertical="center" wrapText="1"/>
    </xf>
    <xf numFmtId="0" fontId="22" fillId="2" borderId="0" xfId="0" applyFont="1" applyFill="1" applyAlignment="1">
      <alignment vertical="center" wrapText="1"/>
    </xf>
    <xf numFmtId="192" fontId="18" fillId="0" borderId="33" xfId="0" applyNumberFormat="1" applyFont="1" applyFill="1" applyBorder="1" applyAlignment="1">
      <alignment horizontal="center" vertical="center" wrapText="1"/>
    </xf>
    <xf numFmtId="192" fontId="18" fillId="0" borderId="34" xfId="0" applyNumberFormat="1" applyFont="1" applyFill="1" applyBorder="1" applyAlignment="1">
      <alignment horizontal="center" vertical="center" wrapText="1"/>
    </xf>
    <xf numFmtId="192" fontId="18" fillId="0" borderId="50" xfId="0" applyNumberFormat="1" applyFont="1" applyFill="1" applyBorder="1" applyAlignment="1">
      <alignment horizontal="center" vertical="center" wrapText="1"/>
    </xf>
    <xf numFmtId="192" fontId="18" fillId="0" borderId="51" xfId="0" applyNumberFormat="1" applyFont="1" applyFill="1" applyBorder="1" applyAlignment="1">
      <alignment horizontal="center" vertical="center" wrapText="1"/>
    </xf>
    <xf numFmtId="192" fontId="18" fillId="0" borderId="52" xfId="0" applyNumberFormat="1" applyFont="1" applyFill="1" applyBorder="1" applyAlignment="1">
      <alignment horizontal="center" vertical="center" wrapText="1"/>
    </xf>
    <xf numFmtId="192" fontId="18" fillId="0" borderId="47" xfId="0" applyNumberFormat="1" applyFont="1" applyFill="1" applyBorder="1" applyAlignment="1">
      <alignment horizontal="center" vertical="center" wrapText="1"/>
    </xf>
    <xf numFmtId="192" fontId="18" fillId="0" borderId="35" xfId="0" applyNumberFormat="1" applyFont="1" applyFill="1" applyBorder="1" applyAlignment="1">
      <alignment horizontal="center" vertical="center" wrapText="1"/>
    </xf>
    <xf numFmtId="0" fontId="42" fillId="7" borderId="44" xfId="0" applyFont="1" applyFill="1" applyBorder="1" applyAlignment="1">
      <alignment horizontal="center" vertical="center" wrapText="1"/>
    </xf>
    <xf numFmtId="190" fontId="66" fillId="7" borderId="38" xfId="0" applyNumberFormat="1" applyFont="1" applyFill="1" applyBorder="1" applyAlignment="1">
      <alignment horizontal="center" vertical="center" wrapText="1"/>
    </xf>
    <xf numFmtId="0" fontId="67" fillId="7" borderId="48" xfId="0" applyFont="1" applyFill="1" applyBorder="1" applyAlignment="1">
      <alignment horizontal="center" vertical="center" wrapText="1"/>
    </xf>
    <xf numFmtId="0" fontId="68" fillId="7" borderId="33" xfId="0" applyFont="1" applyFill="1" applyBorder="1" applyAlignment="1">
      <alignment horizontal="center" vertical="center" wrapText="1"/>
    </xf>
    <xf numFmtId="0" fontId="69" fillId="7" borderId="53" xfId="0" applyFont="1" applyFill="1" applyBorder="1" applyAlignment="1">
      <alignment horizontal="center" vertical="center" wrapText="1"/>
    </xf>
    <xf numFmtId="207" fontId="69" fillId="7" borderId="54" xfId="3" applyNumberFormat="1" applyFont="1" applyFill="1" applyBorder="1" applyAlignment="1">
      <alignment horizontal="center" vertical="center" wrapText="1"/>
    </xf>
    <xf numFmtId="0" fontId="69" fillId="7" borderId="55" xfId="0" applyFont="1" applyFill="1" applyBorder="1" applyAlignment="1">
      <alignment horizontal="center" vertical="center" wrapText="1"/>
    </xf>
    <xf numFmtId="0" fontId="65" fillId="7" borderId="0" xfId="0" applyFont="1" applyFill="1" applyBorder="1" applyAlignment="1">
      <alignment horizontal="center" vertical="center" wrapText="1"/>
    </xf>
    <xf numFmtId="0" fontId="65" fillId="7" borderId="56" xfId="0" applyFont="1" applyFill="1" applyBorder="1" applyAlignment="1">
      <alignment horizontal="center" vertical="center" wrapText="1"/>
    </xf>
    <xf numFmtId="0" fontId="69" fillId="7" borderId="44" xfId="0" applyFont="1" applyFill="1" applyBorder="1" applyAlignment="1">
      <alignment horizontal="center" vertical="center" wrapText="1"/>
    </xf>
    <xf numFmtId="192" fontId="65" fillId="7" borderId="44" xfId="0" applyNumberFormat="1" applyFont="1" applyFill="1" applyBorder="1" applyAlignment="1">
      <alignment horizontal="center" vertical="center" wrapText="1"/>
    </xf>
    <xf numFmtId="0" fontId="69" fillId="7" borderId="38" xfId="0" applyFont="1" applyFill="1" applyBorder="1" applyAlignment="1">
      <alignment horizontal="center" vertical="center" wrapText="1"/>
    </xf>
    <xf numFmtId="0" fontId="43" fillId="7" borderId="38" xfId="0" applyFont="1" applyFill="1" applyBorder="1" applyAlignment="1">
      <alignment horizontal="center" vertical="center" wrapText="1"/>
    </xf>
    <xf numFmtId="0" fontId="66" fillId="2" borderId="0" xfId="0" applyFont="1" applyFill="1" applyAlignment="1">
      <alignment horizontal="center" vertical="center" wrapText="1"/>
    </xf>
    <xf numFmtId="0" fontId="69" fillId="2" borderId="0" xfId="0" applyFont="1" applyFill="1" applyAlignment="1">
      <alignment horizontal="center" vertical="center" wrapText="1"/>
    </xf>
    <xf numFmtId="192" fontId="25" fillId="0" borderId="38" xfId="0" applyNumberFormat="1" applyFont="1" applyFill="1" applyBorder="1" applyAlignment="1">
      <alignment horizontal="center" vertical="center" wrapText="1"/>
    </xf>
    <xf numFmtId="0" fontId="22" fillId="0" borderId="57" xfId="0" applyFont="1" applyBorder="1" applyAlignment="1">
      <alignment horizontal="center" vertical="center" wrapText="1"/>
    </xf>
    <xf numFmtId="184" fontId="23" fillId="0" borderId="46" xfId="0" applyNumberFormat="1" applyFont="1" applyFill="1" applyBorder="1" applyAlignment="1">
      <alignment horizontal="center" vertical="center" wrapText="1"/>
    </xf>
    <xf numFmtId="192" fontId="22" fillId="0" borderId="57" xfId="0" applyNumberFormat="1" applyFont="1" applyFill="1" applyBorder="1" applyAlignment="1">
      <alignment horizontal="center" vertical="center" wrapText="1"/>
    </xf>
    <xf numFmtId="192" fontId="22" fillId="0" borderId="46" xfId="0" applyNumberFormat="1" applyFont="1" applyFill="1" applyBorder="1" applyAlignment="1">
      <alignment horizontal="center" vertical="center" wrapText="1"/>
    </xf>
    <xf numFmtId="10" fontId="70" fillId="0" borderId="58" xfId="0" applyNumberFormat="1" applyFont="1" applyFill="1" applyBorder="1" applyAlignment="1">
      <alignment horizontal="center" vertical="center" wrapText="1"/>
    </xf>
    <xf numFmtId="192" fontId="71" fillId="0" borderId="38" xfId="0" applyNumberFormat="1" applyFont="1" applyFill="1" applyBorder="1" applyAlignment="1">
      <alignment horizontal="center" vertical="center" wrapText="1"/>
    </xf>
    <xf numFmtId="184" fontId="23" fillId="0" borderId="59" xfId="0" applyNumberFormat="1" applyFont="1" applyBorder="1" applyAlignment="1">
      <alignment horizontal="center" vertical="center" wrapText="1"/>
    </xf>
    <xf numFmtId="192" fontId="71" fillId="2" borderId="39" xfId="1" applyNumberFormat="1" applyFont="1" applyFill="1" applyBorder="1" applyAlignment="1">
      <alignment horizontal="center" vertical="center" wrapText="1"/>
    </xf>
    <xf numFmtId="192" fontId="71" fillId="2" borderId="57" xfId="1" applyNumberFormat="1" applyFont="1" applyFill="1" applyBorder="1" applyAlignment="1">
      <alignment horizontal="center" vertical="center" wrapText="1"/>
    </xf>
    <xf numFmtId="192" fontId="22" fillId="0" borderId="57" xfId="3" applyNumberFormat="1" applyFont="1" applyFill="1" applyBorder="1" applyAlignment="1">
      <alignment horizontal="center" vertical="center" wrapText="1"/>
    </xf>
    <xf numFmtId="10" fontId="71" fillId="2" borderId="57" xfId="3" applyNumberFormat="1" applyFont="1" applyFill="1" applyBorder="1" applyAlignment="1">
      <alignment horizontal="center" vertical="center" wrapText="1"/>
    </xf>
    <xf numFmtId="10" fontId="71" fillId="2" borderId="38" xfId="3" applyNumberFormat="1" applyFont="1" applyFill="1" applyBorder="1" applyAlignment="1">
      <alignment horizontal="center" vertical="center" wrapText="1"/>
    </xf>
    <xf numFmtId="10" fontId="71" fillId="0" borderId="33" xfId="0" applyNumberFormat="1" applyFont="1" applyFill="1" applyBorder="1" applyAlignment="1">
      <alignment horizontal="center" vertical="center" wrapText="1"/>
    </xf>
    <xf numFmtId="9" fontId="72" fillId="9" borderId="44" xfId="3" applyNumberFormat="1" applyFont="1" applyFill="1" applyBorder="1" applyAlignment="1">
      <alignment horizontal="center" vertical="center" wrapText="1"/>
    </xf>
    <xf numFmtId="0" fontId="67" fillId="7" borderId="56" xfId="0" applyFont="1" applyFill="1" applyBorder="1" applyAlignment="1">
      <alignment horizontal="center" vertical="center" wrapText="1"/>
    </xf>
    <xf numFmtId="0" fontId="67" fillId="7" borderId="60" xfId="0" applyFont="1" applyFill="1" applyBorder="1" applyAlignment="1">
      <alignment horizontal="center" vertical="center" wrapText="1"/>
    </xf>
    <xf numFmtId="0" fontId="67" fillId="7" borderId="61" xfId="0" applyFont="1" applyFill="1" applyBorder="1" applyAlignment="1">
      <alignment horizontal="center" vertical="center" wrapText="1"/>
    </xf>
    <xf numFmtId="0" fontId="24" fillId="7" borderId="54" xfId="0" applyFont="1" applyFill="1" applyBorder="1" applyAlignment="1">
      <alignment horizontal="center" vertical="center" wrapText="1"/>
    </xf>
    <xf numFmtId="0" fontId="68" fillId="7" borderId="62" xfId="0" applyFont="1" applyFill="1" applyBorder="1" applyAlignment="1">
      <alignment horizontal="center" vertical="center" wrapText="1"/>
    </xf>
    <xf numFmtId="0" fontId="69" fillId="7" borderId="63" xfId="0" applyFont="1" applyFill="1" applyBorder="1" applyAlignment="1">
      <alignment horizontal="center" vertical="center" wrapText="1"/>
    </xf>
    <xf numFmtId="0" fontId="69" fillId="7" borderId="64" xfId="0" applyFont="1" applyFill="1" applyBorder="1" applyAlignment="1">
      <alignment horizontal="center" vertical="center" wrapText="1"/>
    </xf>
    <xf numFmtId="0" fontId="72" fillId="2" borderId="47" xfId="0" applyFont="1" applyFill="1" applyBorder="1" applyAlignment="1">
      <alignment horizontal="center" vertical="center" wrapText="1"/>
    </xf>
    <xf numFmtId="0" fontId="72" fillId="2" borderId="39" xfId="0" applyFont="1" applyFill="1" applyBorder="1" applyAlignment="1">
      <alignment horizontal="center" vertical="center" wrapText="1"/>
    </xf>
    <xf numFmtId="0" fontId="68" fillId="2" borderId="38" xfId="0" applyFont="1" applyFill="1" applyBorder="1" applyAlignment="1">
      <alignment horizontal="center" vertical="center" wrapText="1"/>
    </xf>
    <xf numFmtId="0" fontId="68" fillId="2" borderId="33" xfId="0" applyFont="1" applyFill="1" applyBorder="1" applyAlignment="1">
      <alignment horizontal="center" vertical="center" wrapText="1"/>
    </xf>
    <xf numFmtId="0" fontId="68" fillId="2" borderId="38" xfId="0" applyFont="1" applyFill="1" applyBorder="1" applyAlignment="1">
      <alignment vertical="center" wrapText="1"/>
    </xf>
    <xf numFmtId="190" fontId="69" fillId="2" borderId="0" xfId="0" applyNumberFormat="1" applyFont="1" applyFill="1" applyAlignment="1">
      <alignment horizontal="center" vertical="center" wrapText="1"/>
    </xf>
    <xf numFmtId="208" fontId="22" fillId="0" borderId="33" xfId="0" applyNumberFormat="1" applyFont="1" applyFill="1" applyBorder="1" applyAlignment="1">
      <alignment horizontal="center" vertical="center" wrapText="1"/>
    </xf>
    <xf numFmtId="184" fontId="71" fillId="0" borderId="65" xfId="0" applyNumberFormat="1" applyFont="1" applyBorder="1" applyAlignment="1">
      <alignment horizontal="center" vertical="center" wrapText="1"/>
    </xf>
    <xf numFmtId="184" fontId="22" fillId="0" borderId="66" xfId="0" applyNumberFormat="1" applyFont="1" applyBorder="1" applyAlignment="1">
      <alignment horizontal="center" vertical="center" wrapText="1"/>
    </xf>
    <xf numFmtId="192" fontId="22" fillId="0" borderId="66" xfId="0" applyNumberFormat="1" applyFont="1" applyFill="1" applyBorder="1" applyAlignment="1">
      <alignment horizontal="center" vertical="center" wrapText="1"/>
    </xf>
    <xf numFmtId="192" fontId="22" fillId="0" borderId="67" xfId="0" applyNumberFormat="1" applyFont="1" applyFill="1" applyBorder="1" applyAlignment="1">
      <alignment horizontal="center" vertical="center" wrapText="1"/>
    </xf>
    <xf numFmtId="10" fontId="73" fillId="0" borderId="68" xfId="0" applyNumberFormat="1" applyFont="1" applyFill="1" applyBorder="1" applyAlignment="1">
      <alignment horizontal="center" vertical="center" wrapText="1"/>
    </xf>
    <xf numFmtId="192" fontId="71" fillId="0" borderId="66" xfId="0" applyNumberFormat="1" applyFont="1" applyFill="1" applyBorder="1" applyAlignment="1">
      <alignment horizontal="center" vertical="center" wrapText="1"/>
    </xf>
    <xf numFmtId="184" fontId="23" fillId="0" borderId="69" xfId="0" applyNumberFormat="1" applyFont="1" applyBorder="1" applyAlignment="1">
      <alignment horizontal="center" vertical="center" wrapText="1"/>
    </xf>
    <xf numFmtId="0" fontId="72" fillId="2" borderId="49" xfId="0" applyFont="1" applyFill="1" applyBorder="1" applyAlignment="1">
      <alignment horizontal="center" vertical="center" wrapText="1"/>
    </xf>
    <xf numFmtId="0" fontId="72" fillId="2" borderId="40" xfId="0" applyFont="1" applyFill="1" applyBorder="1" applyAlignment="1">
      <alignment horizontal="center" vertical="center" wrapText="1"/>
    </xf>
    <xf numFmtId="209" fontId="25" fillId="2" borderId="38" xfId="1" applyNumberFormat="1" applyFont="1" applyFill="1" applyBorder="1" applyAlignment="1">
      <alignment horizontal="center" vertical="center" wrapText="1"/>
    </xf>
    <xf numFmtId="192" fontId="74" fillId="2" borderId="38" xfId="1" applyNumberFormat="1" applyFont="1" applyFill="1" applyBorder="1" applyAlignment="1">
      <alignment horizontal="center" vertical="center" wrapText="1"/>
    </xf>
    <xf numFmtId="192" fontId="74" fillId="2" borderId="44" xfId="1" applyNumberFormat="1" applyFont="1" applyFill="1" applyBorder="1" applyAlignment="1">
      <alignment horizontal="center" vertical="center" wrapText="1"/>
    </xf>
    <xf numFmtId="192" fontId="74" fillId="2" borderId="44" xfId="1" applyNumberFormat="1" applyFont="1" applyFill="1" applyBorder="1" applyAlignment="1">
      <alignment vertical="center" wrapText="1"/>
    </xf>
    <xf numFmtId="0" fontId="75" fillId="2" borderId="33" xfId="0" applyFont="1" applyFill="1" applyBorder="1" applyAlignment="1">
      <alignment horizontal="center" vertical="center" wrapText="1"/>
    </xf>
    <xf numFmtId="0" fontId="75" fillId="2" borderId="49" xfId="0" applyFont="1" applyFill="1" applyBorder="1" applyAlignment="1">
      <alignment horizontal="center" vertical="center" wrapText="1"/>
    </xf>
    <xf numFmtId="0" fontId="75" fillId="2" borderId="34" xfId="0" applyFont="1" applyFill="1" applyBorder="1" applyAlignment="1">
      <alignment horizontal="center" vertical="center" wrapText="1"/>
    </xf>
    <xf numFmtId="0" fontId="75" fillId="2" borderId="35" xfId="0" applyFont="1" applyFill="1" applyBorder="1" applyAlignment="1">
      <alignment horizontal="center" vertical="center" wrapText="1"/>
    </xf>
    <xf numFmtId="0" fontId="76" fillId="2" borderId="56" xfId="0" applyFont="1" applyFill="1" applyBorder="1" applyAlignment="1">
      <alignment horizontal="center" vertical="center" wrapText="1"/>
    </xf>
    <xf numFmtId="0" fontId="76" fillId="2" borderId="0" xfId="0" applyFont="1" applyFill="1" applyAlignment="1">
      <alignment horizontal="center" vertical="center" wrapText="1"/>
    </xf>
    <xf numFmtId="0" fontId="76" fillId="2" borderId="33" xfId="0" applyFont="1" applyFill="1" applyBorder="1" applyAlignment="1">
      <alignment horizontal="center" vertical="center" wrapText="1"/>
    </xf>
    <xf numFmtId="0" fontId="76" fillId="2" borderId="34" xfId="0" applyFont="1" applyFill="1" applyBorder="1" applyAlignment="1">
      <alignment horizontal="center" vertical="center" wrapText="1"/>
    </xf>
    <xf numFmtId="0" fontId="76" fillId="2" borderId="35" xfId="0" applyFont="1" applyFill="1" applyBorder="1" applyAlignment="1">
      <alignment horizontal="center" vertical="center" wrapText="1"/>
    </xf>
    <xf numFmtId="0" fontId="42" fillId="7" borderId="38" xfId="0" applyFont="1" applyFill="1" applyBorder="1" applyAlignment="1">
      <alignment horizontal="center" vertical="center" wrapText="1"/>
    </xf>
    <xf numFmtId="0" fontId="67" fillId="7" borderId="38" xfId="0" applyFont="1" applyFill="1" applyBorder="1" applyAlignment="1">
      <alignment horizontal="center" vertical="center" wrapText="1"/>
    </xf>
    <xf numFmtId="10" fontId="77" fillId="7" borderId="38" xfId="3" applyNumberFormat="1" applyFont="1" applyFill="1" applyBorder="1" applyAlignment="1">
      <alignment horizontal="center" vertical="center" wrapText="1"/>
    </xf>
    <xf numFmtId="0" fontId="43" fillId="7" borderId="57" xfId="0" applyFont="1" applyFill="1" applyBorder="1" applyAlignment="1">
      <alignment horizontal="center" vertical="center" wrapText="1"/>
    </xf>
    <xf numFmtId="190" fontId="77" fillId="7" borderId="38" xfId="0" applyNumberFormat="1" applyFont="1" applyFill="1" applyBorder="1" applyAlignment="1">
      <alignment horizontal="center" vertical="center" wrapText="1"/>
    </xf>
    <xf numFmtId="0" fontId="66" fillId="7" borderId="38" xfId="0" applyFont="1" applyFill="1" applyBorder="1" applyAlignment="1">
      <alignment horizontal="center" vertical="center" wrapText="1"/>
    </xf>
    <xf numFmtId="192" fontId="78" fillId="0" borderId="38" xfId="0" applyNumberFormat="1" applyFont="1" applyFill="1" applyBorder="1" applyAlignment="1">
      <alignment horizontal="center" vertical="center" wrapText="1"/>
    </xf>
    <xf numFmtId="192" fontId="25" fillId="0" borderId="70" xfId="0" applyNumberFormat="1" applyFont="1" applyFill="1" applyBorder="1" applyAlignment="1">
      <alignment horizontal="center" vertical="center" wrapText="1"/>
    </xf>
    <xf numFmtId="0" fontId="71" fillId="9" borderId="38" xfId="0" applyFont="1" applyFill="1" applyBorder="1" applyAlignment="1">
      <alignment horizontal="center" vertical="center" wrapText="1"/>
    </xf>
    <xf numFmtId="193" fontId="25" fillId="9" borderId="38" xfId="0" applyNumberFormat="1" applyFont="1" applyFill="1" applyBorder="1" applyAlignment="1">
      <alignment horizontal="center" vertical="center" wrapText="1"/>
    </xf>
    <xf numFmtId="2" fontId="25" fillId="9" borderId="46" xfId="0" applyNumberFormat="1" applyFont="1" applyFill="1" applyBorder="1" applyAlignment="1">
      <alignment horizontal="center" vertical="center" wrapText="1"/>
    </xf>
    <xf numFmtId="0" fontId="71" fillId="9" borderId="38" xfId="0" applyNumberFormat="1" applyFont="1" applyFill="1" applyBorder="1" applyAlignment="1">
      <alignment horizontal="center" vertical="center" wrapText="1"/>
    </xf>
    <xf numFmtId="0" fontId="71" fillId="9" borderId="35" xfId="0" applyFont="1" applyFill="1" applyBorder="1" applyAlignment="1">
      <alignment horizontal="center" vertical="center" wrapText="1"/>
    </xf>
    <xf numFmtId="0" fontId="70" fillId="9" borderId="38" xfId="0" applyFont="1" applyFill="1" applyBorder="1" applyAlignment="1">
      <alignment horizontal="center" vertical="center" wrapText="1"/>
    </xf>
    <xf numFmtId="181" fontId="71" fillId="0" borderId="35" xfId="0" applyNumberFormat="1" applyFont="1" applyFill="1" applyBorder="1" applyAlignment="1">
      <alignment horizontal="center" vertical="center" wrapText="1"/>
    </xf>
    <xf numFmtId="0" fontId="73" fillId="9" borderId="35" xfId="0" applyFont="1" applyFill="1" applyBorder="1" applyAlignment="1">
      <alignment horizontal="center" vertical="center" wrapText="1"/>
    </xf>
    <xf numFmtId="0" fontId="71" fillId="0" borderId="35" xfId="0" applyFont="1" applyFill="1" applyBorder="1" applyAlignment="1">
      <alignment horizontal="center" vertical="center" wrapText="1"/>
    </xf>
    <xf numFmtId="191" fontId="72" fillId="9" borderId="38" xfId="1" applyNumberFormat="1" applyFont="1" applyFill="1" applyBorder="1" applyAlignment="1">
      <alignment horizontal="center" vertical="center" wrapText="1"/>
    </xf>
    <xf numFmtId="181" fontId="71" fillId="0" borderId="38" xfId="0" applyNumberFormat="1" applyFont="1" applyFill="1" applyBorder="1" applyAlignment="1">
      <alignment horizontal="center" vertical="center" wrapText="1"/>
    </xf>
    <xf numFmtId="184" fontId="71" fillId="0" borderId="35" xfId="0" applyNumberFormat="1" applyFont="1" applyFill="1" applyBorder="1" applyAlignment="1">
      <alignment horizontal="center" vertical="center" wrapText="1"/>
    </xf>
    <xf numFmtId="192" fontId="71" fillId="0" borderId="38" xfId="3" applyNumberFormat="1" applyFont="1" applyFill="1" applyBorder="1" applyAlignment="1">
      <alignment horizontal="center" vertical="center" wrapText="1"/>
    </xf>
    <xf numFmtId="191" fontId="72" fillId="9" borderId="38" xfId="0" applyNumberFormat="1" applyFont="1" applyFill="1" applyBorder="1" applyAlignment="1">
      <alignment horizontal="center" vertical="center" wrapText="1"/>
    </xf>
    <xf numFmtId="0" fontId="79" fillId="7" borderId="44" xfId="0" applyFont="1" applyFill="1" applyBorder="1" applyAlignment="1">
      <alignment horizontal="center" vertical="center" wrapText="1"/>
    </xf>
    <xf numFmtId="0" fontId="79" fillId="7" borderId="33" xfId="0" applyFont="1" applyFill="1" applyBorder="1" applyAlignment="1">
      <alignment horizontal="center" vertical="center" wrapText="1"/>
    </xf>
    <xf numFmtId="0" fontId="79" fillId="7" borderId="38" xfId="0" applyFont="1" applyFill="1" applyBorder="1" applyAlignment="1">
      <alignment horizontal="center" vertical="center" wrapText="1"/>
    </xf>
    <xf numFmtId="0" fontId="65" fillId="7" borderId="38" xfId="0" applyFont="1" applyFill="1" applyBorder="1" applyAlignment="1">
      <alignment horizontal="center" vertical="center" wrapText="1"/>
    </xf>
    <xf numFmtId="0" fontId="80" fillId="7" borderId="38" xfId="0" applyFont="1" applyFill="1" applyBorder="1" applyAlignment="1">
      <alignment horizontal="center" vertical="center" wrapText="1"/>
    </xf>
    <xf numFmtId="0" fontId="43" fillId="7" borderId="44" xfId="0" applyFont="1" applyFill="1" applyBorder="1" applyAlignment="1">
      <alignment horizontal="center" vertical="center" wrapText="1"/>
    </xf>
    <xf numFmtId="210" fontId="77" fillId="7" borderId="38" xfId="1" applyNumberFormat="1" applyFont="1" applyFill="1" applyBorder="1" applyAlignment="1">
      <alignment horizontal="center" vertical="center" wrapText="1"/>
    </xf>
    <xf numFmtId="0" fontId="43" fillId="7" borderId="44" xfId="0" applyFont="1" applyFill="1" applyBorder="1" applyAlignment="1" applyProtection="1">
      <alignment horizontal="center" vertical="center" wrapText="1"/>
      <protection locked="0"/>
    </xf>
    <xf numFmtId="0" fontId="77" fillId="7" borderId="38" xfId="0" applyFont="1" applyFill="1" applyBorder="1" applyAlignment="1">
      <alignment horizontal="center" vertical="center" wrapText="1"/>
    </xf>
    <xf numFmtId="192" fontId="25" fillId="2" borderId="70" xfId="0" applyNumberFormat="1" applyFont="1" applyFill="1" applyBorder="1" applyAlignment="1">
      <alignment horizontal="center" vertical="center" wrapText="1"/>
    </xf>
    <xf numFmtId="192" fontId="25" fillId="9" borderId="38" xfId="0" applyNumberFormat="1" applyFont="1" applyFill="1" applyBorder="1" applyAlignment="1">
      <alignment horizontal="center" vertical="center" wrapText="1"/>
    </xf>
    <xf numFmtId="211" fontId="71" fillId="9" borderId="70" xfId="0" applyNumberFormat="1" applyFont="1" applyFill="1" applyBorder="1" applyAlignment="1">
      <alignment horizontal="center" vertical="center" wrapText="1"/>
    </xf>
    <xf numFmtId="212" fontId="71" fillId="9" borderId="70" xfId="0" applyNumberFormat="1" applyFont="1" applyFill="1" applyBorder="1" applyAlignment="1">
      <alignment horizontal="center" vertical="center" wrapText="1"/>
    </xf>
    <xf numFmtId="185" fontId="71" fillId="0" borderId="70" xfId="0" applyNumberFormat="1" applyFont="1" applyFill="1" applyBorder="1" applyAlignment="1">
      <alignment horizontal="center" vertical="center" wrapText="1"/>
    </xf>
    <xf numFmtId="190" fontId="81" fillId="9" borderId="70" xfId="0" applyNumberFormat="1" applyFont="1" applyFill="1" applyBorder="1" applyAlignment="1">
      <alignment horizontal="center" vertical="center" wrapText="1"/>
    </xf>
    <xf numFmtId="209" fontId="71" fillId="0" borderId="70" xfId="1" applyNumberFormat="1" applyFont="1" applyFill="1" applyBorder="1" applyAlignment="1">
      <alignment horizontal="center" vertical="center" wrapText="1"/>
    </xf>
    <xf numFmtId="190" fontId="71" fillId="0" borderId="70" xfId="0" applyNumberFormat="1" applyFont="1" applyFill="1" applyBorder="1" applyAlignment="1">
      <alignment horizontal="center" vertical="center" wrapText="1"/>
    </xf>
    <xf numFmtId="9" fontId="74" fillId="9" borderId="70" xfId="3" applyNumberFormat="1" applyFont="1" applyFill="1" applyBorder="1" applyAlignment="1">
      <alignment horizontal="center" vertical="center" wrapText="1"/>
    </xf>
    <xf numFmtId="9" fontId="72" fillId="9" borderId="70" xfId="0" applyNumberFormat="1" applyFont="1" applyFill="1" applyBorder="1" applyAlignment="1">
      <alignment horizontal="center" vertical="center" wrapText="1"/>
    </xf>
    <xf numFmtId="213" fontId="82" fillId="2" borderId="0" xfId="1" applyNumberFormat="1" applyFont="1" applyFill="1" applyAlignment="1">
      <alignment horizontal="center" vertical="center" wrapText="1"/>
    </xf>
    <xf numFmtId="0" fontId="9" fillId="0" borderId="33" xfId="0" applyFont="1" applyFill="1" applyBorder="1" applyAlignment="1">
      <alignment horizontal="center" vertical="center" wrapText="1"/>
    </xf>
    <xf numFmtId="0" fontId="82" fillId="0" borderId="34" xfId="0" applyFont="1" applyFill="1" applyBorder="1" applyAlignment="1">
      <alignment horizontal="center" vertical="center" wrapText="1"/>
    </xf>
    <xf numFmtId="0" fontId="82" fillId="0" borderId="35" xfId="0" applyFont="1" applyFill="1" applyBorder="1" applyAlignment="1">
      <alignment horizontal="center" vertical="center" wrapText="1"/>
    </xf>
    <xf numFmtId="0" fontId="22" fillId="2" borderId="38" xfId="0" applyFont="1" applyFill="1" applyBorder="1" applyAlignment="1">
      <alignment vertical="center" wrapText="1"/>
    </xf>
    <xf numFmtId="0" fontId="82" fillId="2" borderId="0" xfId="0" applyFont="1" applyFill="1" applyAlignment="1">
      <alignment horizontal="center" vertical="center" wrapText="1"/>
    </xf>
    <xf numFmtId="0" fontId="70" fillId="7" borderId="44" xfId="0" applyFont="1" applyFill="1" applyBorder="1" applyAlignment="1">
      <alignment horizontal="center" vertical="center" wrapText="1"/>
    </xf>
    <xf numFmtId="0" fontId="67" fillId="7" borderId="44" xfId="0" applyFont="1" applyFill="1" applyBorder="1" applyAlignment="1">
      <alignment horizontal="center" vertical="center" wrapText="1"/>
    </xf>
    <xf numFmtId="0" fontId="78" fillId="2" borderId="0" xfId="0" applyFont="1" applyFill="1" applyAlignment="1">
      <alignment horizontal="center" vertical="center" wrapText="1"/>
    </xf>
    <xf numFmtId="192" fontId="25" fillId="0" borderId="57" xfId="0" applyNumberFormat="1" applyFont="1" applyFill="1" applyBorder="1" applyAlignment="1">
      <alignment horizontal="center" vertical="center" wrapText="1"/>
    </xf>
    <xf numFmtId="184" fontId="71" fillId="9" borderId="57" xfId="0" applyNumberFormat="1" applyFont="1" applyFill="1" applyBorder="1" applyAlignment="1">
      <alignment horizontal="center" vertical="center" wrapText="1"/>
    </xf>
    <xf numFmtId="0" fontId="71" fillId="9" borderId="57" xfId="0" applyFont="1" applyFill="1" applyBorder="1" applyAlignment="1">
      <alignment horizontal="center" vertical="center" wrapText="1"/>
    </xf>
    <xf numFmtId="9" fontId="71" fillId="9" borderId="57" xfId="3" applyNumberFormat="1" applyFont="1" applyFill="1" applyBorder="1" applyAlignment="1">
      <alignment horizontal="center" vertical="center" wrapText="1"/>
    </xf>
    <xf numFmtId="192" fontId="71" fillId="9" borderId="57" xfId="3" applyNumberFormat="1" applyFont="1" applyFill="1" applyBorder="1" applyAlignment="1">
      <alignment horizontal="center" vertical="center" wrapText="1"/>
    </xf>
    <xf numFmtId="192" fontId="71" fillId="0" borderId="57" xfId="3" applyNumberFormat="1" applyFont="1" applyFill="1" applyBorder="1" applyAlignment="1">
      <alignment horizontal="center" vertical="center" wrapText="1"/>
    </xf>
    <xf numFmtId="184" fontId="71" fillId="0" borderId="57" xfId="0" applyNumberFormat="1" applyFont="1" applyFill="1" applyBorder="1" applyAlignment="1">
      <alignment horizontal="center" vertical="center" wrapText="1"/>
    </xf>
    <xf numFmtId="208" fontId="71" fillId="9" borderId="47" xfId="3" applyNumberFormat="1" applyFont="1" applyFill="1" applyBorder="1" applyAlignment="1">
      <alignment horizontal="center" vertical="center" wrapText="1"/>
    </xf>
    <xf numFmtId="185" fontId="71" fillId="0" borderId="57" xfId="0" applyNumberFormat="1" applyFont="1" applyFill="1" applyBorder="1" applyAlignment="1">
      <alignment horizontal="center" vertical="center" wrapText="1"/>
    </xf>
    <xf numFmtId="9" fontId="71" fillId="9" borderId="38" xfId="3" applyNumberFormat="1" applyFont="1" applyFill="1" applyBorder="1" applyAlignment="1">
      <alignment horizontal="center" vertical="center" wrapText="1"/>
    </xf>
    <xf numFmtId="191" fontId="71" fillId="9" borderId="38" xfId="0" applyNumberFormat="1" applyFont="1" applyFill="1" applyBorder="1" applyAlignment="1">
      <alignment horizontal="center" vertical="center" wrapText="1"/>
    </xf>
    <xf numFmtId="0" fontId="76" fillId="0" borderId="33" xfId="0" applyFont="1" applyFill="1" applyBorder="1" applyAlignment="1">
      <alignment horizontal="center" vertical="center" wrapText="1"/>
    </xf>
    <xf numFmtId="0" fontId="76" fillId="0" borderId="34" xfId="0" applyFont="1" applyFill="1" applyBorder="1" applyAlignment="1">
      <alignment horizontal="center" vertical="center" wrapText="1"/>
    </xf>
    <xf numFmtId="0" fontId="76" fillId="0" borderId="35" xfId="0" applyFont="1" applyFill="1" applyBorder="1" applyAlignment="1">
      <alignment horizontal="center" vertical="center" wrapText="1"/>
    </xf>
    <xf numFmtId="0" fontId="9" fillId="0" borderId="34" xfId="0" applyFont="1" applyFill="1" applyBorder="1" applyAlignment="1">
      <alignment horizontal="center" vertical="center" wrapText="1"/>
    </xf>
    <xf numFmtId="0" fontId="9" fillId="0" borderId="35" xfId="0" applyFont="1" applyFill="1" applyBorder="1" applyAlignment="1">
      <alignment horizontal="center" vertical="center" wrapText="1"/>
    </xf>
    <xf numFmtId="10" fontId="77" fillId="7" borderId="44" xfId="3" applyNumberFormat="1" applyFont="1" applyFill="1" applyBorder="1" applyAlignment="1">
      <alignment horizontal="center" vertical="center" wrapText="1"/>
    </xf>
    <xf numFmtId="190" fontId="77" fillId="7" borderId="44" xfId="0" applyNumberFormat="1" applyFont="1" applyFill="1" applyBorder="1" applyAlignment="1">
      <alignment horizontal="center" vertical="center" wrapText="1"/>
    </xf>
    <xf numFmtId="210" fontId="77" fillId="7" borderId="44" xfId="1" applyNumberFormat="1" applyFont="1" applyFill="1" applyBorder="1" applyAlignment="1">
      <alignment horizontal="center" vertical="center" wrapText="1"/>
    </xf>
    <xf numFmtId="184" fontId="71" fillId="0" borderId="38" xfId="0" applyNumberFormat="1" applyFont="1" applyFill="1" applyBorder="1" applyAlignment="1">
      <alignment horizontal="center" vertical="center" wrapText="1"/>
    </xf>
    <xf numFmtId="184" fontId="71" fillId="9" borderId="6" xfId="0" applyNumberFormat="1" applyFont="1" applyFill="1" applyBorder="1" applyAlignment="1">
      <alignment horizontal="center" vertical="center" wrapText="1"/>
    </xf>
    <xf numFmtId="183" fontId="71" fillId="9" borderId="57" xfId="3" applyNumberFormat="1" applyFont="1" applyFill="1" applyBorder="1" applyAlignment="1">
      <alignment horizontal="center" vertical="center" wrapText="1"/>
    </xf>
    <xf numFmtId="180" fontId="71" fillId="9" borderId="38" xfId="0" applyNumberFormat="1" applyFont="1" applyFill="1" applyBorder="1" applyAlignment="1">
      <alignment horizontal="center" vertical="center" wrapText="1"/>
    </xf>
    <xf numFmtId="187" fontId="71" fillId="9" borderId="38" xfId="0" applyNumberFormat="1" applyFont="1" applyFill="1" applyBorder="1" applyAlignment="1">
      <alignment horizontal="center" vertical="center" wrapText="1"/>
    </xf>
    <xf numFmtId="193" fontId="71" fillId="9" borderId="38" xfId="0" applyNumberFormat="1" applyFont="1" applyFill="1" applyBorder="1" applyAlignment="1">
      <alignment horizontal="center" vertical="center" wrapText="1"/>
    </xf>
    <xf numFmtId="186" fontId="71" fillId="0" borderId="38" xfId="0" applyNumberFormat="1" applyFont="1" applyFill="1" applyBorder="1" applyAlignment="1">
      <alignment horizontal="center" vertical="center" wrapText="1"/>
    </xf>
    <xf numFmtId="0" fontId="71" fillId="9" borderId="38" xfId="3" applyNumberFormat="1" applyFont="1" applyFill="1" applyBorder="1" applyAlignment="1" applyProtection="1">
      <alignment horizontal="center" vertical="center" wrapText="1"/>
    </xf>
    <xf numFmtId="10" fontId="71" fillId="9" borderId="38" xfId="3" applyNumberFormat="1" applyFont="1" applyFill="1" applyBorder="1" applyAlignment="1" applyProtection="1">
      <alignment horizontal="center" vertical="center" wrapText="1"/>
    </xf>
    <xf numFmtId="10" fontId="71" fillId="9" borderId="38" xfId="3" applyNumberFormat="1" applyFont="1" applyFill="1" applyBorder="1" applyAlignment="1">
      <alignment horizontal="center" vertical="center" wrapText="1"/>
    </xf>
    <xf numFmtId="208" fontId="71" fillId="0" borderId="38" xfId="3" applyNumberFormat="1" applyFont="1" applyFill="1" applyBorder="1" applyAlignment="1">
      <alignment horizontal="center" vertical="center" wrapText="1"/>
    </xf>
    <xf numFmtId="0" fontId="83" fillId="2" borderId="0" xfId="0" applyFont="1" applyFill="1" applyAlignment="1">
      <alignment horizontal="center" vertical="center" wrapText="1"/>
    </xf>
    <xf numFmtId="192" fontId="9" fillId="0" borderId="33" xfId="0" applyNumberFormat="1" applyFont="1" applyFill="1" applyBorder="1" applyAlignment="1">
      <alignment horizontal="center" vertical="center" wrapText="1"/>
    </xf>
    <xf numFmtId="192" fontId="9" fillId="0" borderId="34" xfId="0" applyNumberFormat="1" applyFont="1" applyFill="1" applyBorder="1" applyAlignment="1">
      <alignment horizontal="center" vertical="center" wrapText="1"/>
    </xf>
    <xf numFmtId="192" fontId="9" fillId="0" borderId="35" xfId="0" applyNumberFormat="1" applyFont="1" applyFill="1" applyBorder="1" applyAlignment="1">
      <alignment horizontal="center" vertical="center" wrapText="1"/>
    </xf>
    <xf numFmtId="176" fontId="76" fillId="0" borderId="30" xfId="0" applyNumberFormat="1" applyFont="1" applyFill="1" applyBorder="1" applyAlignment="1">
      <alignment horizontal="center" vertical="center" wrapText="1"/>
    </xf>
    <xf numFmtId="176" fontId="76" fillId="0" borderId="31" xfId="0" applyNumberFormat="1" applyFont="1" applyFill="1" applyBorder="1" applyAlignment="1">
      <alignment horizontal="center" vertical="center" wrapText="1"/>
    </xf>
    <xf numFmtId="176" fontId="76" fillId="0" borderId="32" xfId="0" applyNumberFormat="1" applyFont="1" applyFill="1" applyBorder="1" applyAlignment="1">
      <alignment horizontal="center" vertical="center" wrapText="1"/>
    </xf>
    <xf numFmtId="0" fontId="9" fillId="0" borderId="49" xfId="0" applyFont="1" applyFill="1" applyBorder="1" applyAlignment="1">
      <alignment horizontal="center" vertical="center" wrapText="1"/>
    </xf>
    <xf numFmtId="0" fontId="9" fillId="0" borderId="40" xfId="0" applyFont="1" applyFill="1" applyBorder="1" applyAlignment="1">
      <alignment horizontal="center" vertical="center" wrapText="1"/>
    </xf>
    <xf numFmtId="192" fontId="84" fillId="7" borderId="38" xfId="0" applyNumberFormat="1" applyFont="1" applyFill="1" applyBorder="1" applyAlignment="1">
      <alignment horizontal="center" vertical="center" wrapText="1"/>
    </xf>
    <xf numFmtId="181" fontId="85" fillId="7" borderId="44" xfId="0" applyNumberFormat="1" applyFont="1" applyFill="1" applyBorder="1" applyAlignment="1">
      <alignment horizontal="center" vertical="center" wrapText="1"/>
    </xf>
    <xf numFmtId="181" fontId="86" fillId="7" borderId="40" xfId="0" applyNumberFormat="1" applyFont="1" applyFill="1" applyBorder="1" applyAlignment="1">
      <alignment horizontal="center" vertical="center" wrapText="1"/>
    </xf>
    <xf numFmtId="0" fontId="43" fillId="7" borderId="40" xfId="0" applyFont="1" applyFill="1" applyBorder="1" applyAlignment="1">
      <alignment horizontal="center" vertical="center" wrapText="1"/>
    </xf>
    <xf numFmtId="0" fontId="43" fillId="7" borderId="70" xfId="0" applyFont="1" applyFill="1" applyBorder="1" applyAlignment="1">
      <alignment horizontal="center" vertical="center" wrapText="1"/>
    </xf>
    <xf numFmtId="181" fontId="86" fillId="7" borderId="44" xfId="0" applyNumberFormat="1" applyFont="1" applyFill="1" applyBorder="1" applyAlignment="1">
      <alignment horizontal="center" vertical="center" wrapText="1"/>
    </xf>
    <xf numFmtId="181" fontId="71" fillId="9" borderId="57" xfId="0" applyNumberFormat="1" applyFont="1" applyFill="1" applyBorder="1" applyAlignment="1">
      <alignment horizontal="center" vertical="center" wrapText="1"/>
    </xf>
    <xf numFmtId="190" fontId="71" fillId="9" borderId="57" xfId="0" applyNumberFormat="1" applyFont="1" applyFill="1" applyBorder="1" applyAlignment="1">
      <alignment horizontal="center" vertical="center" wrapText="1"/>
    </xf>
    <xf numFmtId="184" fontId="71" fillId="9" borderId="38" xfId="0" applyNumberFormat="1" applyFont="1" applyFill="1" applyBorder="1" applyAlignment="1">
      <alignment horizontal="center" vertical="center" wrapText="1"/>
    </xf>
    <xf numFmtId="191" fontId="71" fillId="9" borderId="57" xfId="0" applyNumberFormat="1" applyFont="1" applyFill="1" applyBorder="1" applyAlignment="1">
      <alignment horizontal="center" vertical="center" wrapText="1"/>
    </xf>
    <xf numFmtId="192" fontId="9" fillId="0" borderId="30" xfId="0" applyNumberFormat="1" applyFont="1" applyFill="1" applyBorder="1" applyAlignment="1">
      <alignment horizontal="center" vertical="center" wrapText="1"/>
    </xf>
    <xf numFmtId="192" fontId="9" fillId="0" borderId="31" xfId="0" applyNumberFormat="1" applyFont="1" applyFill="1" applyBorder="1" applyAlignment="1">
      <alignment horizontal="center" vertical="center" wrapText="1"/>
    </xf>
    <xf numFmtId="192" fontId="9" fillId="0" borderId="32" xfId="0" applyNumberFormat="1" applyFont="1" applyFill="1" applyBorder="1" applyAlignment="1">
      <alignment horizontal="center" vertical="center" wrapText="1"/>
    </xf>
    <xf numFmtId="192" fontId="76" fillId="0" borderId="33" xfId="0" applyNumberFormat="1" applyFont="1" applyFill="1" applyBorder="1" applyAlignment="1">
      <alignment horizontal="center" vertical="center" wrapText="1"/>
    </xf>
    <xf numFmtId="192" fontId="76" fillId="0" borderId="34" xfId="0" applyNumberFormat="1" applyFont="1" applyFill="1" applyBorder="1" applyAlignment="1">
      <alignment horizontal="center" vertical="center" wrapText="1"/>
    </xf>
    <xf numFmtId="192" fontId="76" fillId="0" borderId="35" xfId="0" applyNumberFormat="1" applyFont="1" applyFill="1" applyBorder="1" applyAlignment="1">
      <alignment horizontal="center" vertical="center" wrapText="1"/>
    </xf>
    <xf numFmtId="10" fontId="85" fillId="7" borderId="44" xfId="3" applyNumberFormat="1" applyFont="1" applyFill="1" applyBorder="1" applyAlignment="1">
      <alignment horizontal="center" vertical="center" wrapText="1"/>
    </xf>
    <xf numFmtId="0" fontId="65" fillId="7" borderId="44" xfId="0" applyFont="1" applyFill="1" applyBorder="1" applyAlignment="1">
      <alignment horizontal="center" vertical="center" wrapText="1"/>
    </xf>
    <xf numFmtId="181" fontId="43" fillId="7" borderId="40" xfId="0" applyNumberFormat="1" applyFont="1" applyFill="1" applyBorder="1" applyAlignment="1">
      <alignment horizontal="center" vertical="center" wrapText="1"/>
    </xf>
    <xf numFmtId="0" fontId="76" fillId="0" borderId="34" xfId="0" applyFont="1" applyBorder="1" applyAlignment="1">
      <alignment horizontal="center" vertical="center" wrapText="1"/>
    </xf>
    <xf numFmtId="0" fontId="76" fillId="0" borderId="35" xfId="0" applyFont="1" applyBorder="1" applyAlignment="1">
      <alignment horizontal="center" vertical="center" wrapText="1"/>
    </xf>
    <xf numFmtId="0" fontId="43" fillId="7" borderId="48" xfId="0" applyFont="1" applyFill="1" applyBorder="1" applyAlignment="1">
      <alignment horizontal="center" vertical="center" wrapText="1"/>
    </xf>
    <xf numFmtId="0" fontId="65" fillId="7" borderId="48" xfId="0" applyFont="1" applyFill="1" applyBorder="1" applyAlignment="1">
      <alignment horizontal="center" vertical="center" wrapText="1"/>
    </xf>
    <xf numFmtId="0" fontId="43" fillId="7" borderId="14" xfId="0" applyFont="1" applyFill="1" applyBorder="1" applyAlignment="1">
      <alignment horizontal="center" vertical="center" wrapText="1"/>
    </xf>
    <xf numFmtId="181" fontId="85" fillId="7" borderId="38" xfId="0" applyNumberFormat="1" applyFont="1" applyFill="1" applyBorder="1" applyAlignment="1">
      <alignment horizontal="center" vertical="center" wrapText="1"/>
    </xf>
    <xf numFmtId="9" fontId="72" fillId="9" borderId="38" xfId="3" applyNumberFormat="1" applyFont="1" applyFill="1" applyBorder="1" applyAlignment="1">
      <alignment horizontal="center" vertical="center" wrapText="1"/>
    </xf>
    <xf numFmtId="0" fontId="72" fillId="9" borderId="38" xfId="3" applyNumberFormat="1" applyFont="1" applyFill="1" applyBorder="1" applyAlignment="1">
      <alignment horizontal="center" vertical="center" wrapText="1"/>
    </xf>
    <xf numFmtId="183" fontId="71" fillId="9" borderId="38" xfId="3" applyNumberFormat="1" applyFont="1" applyFill="1" applyBorder="1" applyAlignment="1">
      <alignment horizontal="center" vertical="center" wrapText="1"/>
    </xf>
    <xf numFmtId="0" fontId="72" fillId="9" borderId="57" xfId="3" applyNumberFormat="1" applyFont="1" applyFill="1" applyBorder="1" applyAlignment="1">
      <alignment horizontal="center" vertical="center" wrapText="1"/>
    </xf>
    <xf numFmtId="9" fontId="72" fillId="9" borderId="70" xfId="3" applyNumberFormat="1" applyFont="1" applyFill="1" applyBorder="1" applyAlignment="1">
      <alignment horizontal="center" vertical="center" wrapText="1"/>
    </xf>
    <xf numFmtId="10" fontId="71" fillId="9" borderId="57" xfId="3" applyNumberFormat="1" applyFont="1" applyFill="1" applyBorder="1" applyAlignment="1">
      <alignment horizontal="center" vertical="center" wrapText="1"/>
    </xf>
    <xf numFmtId="10" fontId="71" fillId="9" borderId="57" xfId="0" applyNumberFormat="1" applyFont="1" applyFill="1" applyBorder="1" applyAlignment="1">
      <alignment horizontal="center" vertical="center" wrapText="1"/>
    </xf>
    <xf numFmtId="180" fontId="71" fillId="9" borderId="57" xfId="0" applyNumberFormat="1" applyFont="1" applyFill="1" applyBorder="1" applyAlignment="1">
      <alignment horizontal="center" vertical="center" wrapText="1"/>
    </xf>
    <xf numFmtId="10" fontId="71" fillId="9" borderId="38" xfId="0" applyNumberFormat="1" applyFont="1" applyFill="1" applyBorder="1" applyAlignment="1">
      <alignment horizontal="center" vertical="center" wrapText="1"/>
    </xf>
    <xf numFmtId="192" fontId="71" fillId="9" borderId="38" xfId="3" applyNumberFormat="1" applyFont="1" applyFill="1" applyBorder="1" applyAlignment="1">
      <alignment horizontal="center" vertical="center" wrapText="1"/>
    </xf>
    <xf numFmtId="9" fontId="9" fillId="0" borderId="38" xfId="3" applyNumberFormat="1" applyFont="1" applyFill="1" applyBorder="1" applyAlignment="1">
      <alignment horizontal="center" vertical="center" wrapText="1"/>
    </xf>
    <xf numFmtId="9" fontId="82" fillId="0" borderId="38" xfId="3" applyNumberFormat="1" applyFont="1" applyFill="1" applyBorder="1" applyAlignment="1">
      <alignment horizontal="center" vertical="center" wrapText="1"/>
    </xf>
    <xf numFmtId="10" fontId="76" fillId="0" borderId="38" xfId="3" applyNumberFormat="1" applyFont="1" applyFill="1" applyBorder="1" applyAlignment="1">
      <alignment horizontal="center" vertical="center" wrapText="1"/>
    </xf>
    <xf numFmtId="10" fontId="82" fillId="0" borderId="34" xfId="3" applyNumberFormat="1" applyFont="1" applyFill="1" applyBorder="1" applyAlignment="1">
      <alignment horizontal="center" vertical="center" wrapText="1"/>
    </xf>
    <xf numFmtId="0" fontId="14" fillId="0" borderId="1"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33" xfId="0" applyFont="1" applyBorder="1" applyAlignment="1">
      <alignment horizontal="center" vertical="center" wrapText="1"/>
    </xf>
    <xf numFmtId="0" fontId="14" fillId="0" borderId="34" xfId="0" applyFont="1" applyBorder="1" applyAlignment="1">
      <alignment horizontal="center" vertical="center" wrapText="1"/>
    </xf>
    <xf numFmtId="0" fontId="14" fillId="0" borderId="35" xfId="0" applyFont="1" applyBorder="1" applyAlignment="1">
      <alignment horizontal="center" vertical="center" wrapText="1"/>
    </xf>
    <xf numFmtId="184" fontId="87" fillId="0" borderId="33" xfId="0" applyNumberFormat="1" applyFont="1" applyFill="1" applyBorder="1" applyAlignment="1">
      <alignment horizontal="center" vertical="center" wrapText="1"/>
    </xf>
    <xf numFmtId="184" fontId="87" fillId="0" borderId="35" xfId="0" applyNumberFormat="1" applyFont="1" applyFill="1" applyBorder="1" applyAlignment="1">
      <alignment horizontal="center" vertical="center" wrapText="1"/>
    </xf>
    <xf numFmtId="184" fontId="66" fillId="7" borderId="38" xfId="0" applyNumberFormat="1" applyFont="1" applyFill="1" applyBorder="1" applyAlignment="1">
      <alignment horizontal="center" vertical="center" wrapText="1"/>
    </xf>
    <xf numFmtId="183" fontId="77" fillId="7" borderId="38" xfId="3" applyNumberFormat="1" applyFont="1" applyFill="1" applyBorder="1" applyAlignment="1">
      <alignment horizontal="center" vertical="center" wrapText="1"/>
    </xf>
    <xf numFmtId="183" fontId="67" fillId="7" borderId="38" xfId="3" applyNumberFormat="1" applyFont="1" applyFill="1" applyBorder="1" applyAlignment="1">
      <alignment horizontal="center" vertical="center" wrapText="1"/>
    </xf>
    <xf numFmtId="0" fontId="14" fillId="7" borderId="44" xfId="0" applyFont="1" applyFill="1" applyBorder="1" applyAlignment="1">
      <alignment horizontal="center" vertical="center" wrapText="1"/>
    </xf>
    <xf numFmtId="183" fontId="43" fillId="7" borderId="38" xfId="3" applyNumberFormat="1" applyFont="1" applyFill="1" applyBorder="1" applyAlignment="1">
      <alignment horizontal="center" vertical="center" wrapText="1"/>
    </xf>
    <xf numFmtId="0" fontId="43" fillId="7" borderId="38" xfId="0" applyNumberFormat="1" applyFont="1" applyFill="1" applyBorder="1" applyAlignment="1">
      <alignment horizontal="center" vertical="center" wrapText="1"/>
    </xf>
    <xf numFmtId="0" fontId="88" fillId="7" borderId="38" xfId="0" applyFont="1" applyFill="1" applyBorder="1" applyAlignment="1">
      <alignment horizontal="center" vertical="center" wrapText="1"/>
    </xf>
    <xf numFmtId="192" fontId="74" fillId="0" borderId="38" xfId="0" applyNumberFormat="1" applyFont="1" applyFill="1" applyBorder="1" applyAlignment="1">
      <alignment horizontal="center" vertical="center" wrapText="1"/>
    </xf>
    <xf numFmtId="183" fontId="71" fillId="0" borderId="38" xfId="3" applyNumberFormat="1" applyFont="1" applyFill="1" applyBorder="1" applyAlignment="1">
      <alignment horizontal="center" vertical="center" wrapText="1"/>
    </xf>
    <xf numFmtId="181" fontId="71" fillId="9" borderId="38" xfId="0" applyNumberFormat="1" applyFont="1" applyFill="1" applyBorder="1" applyAlignment="1">
      <alignment horizontal="center" vertical="center" wrapText="1"/>
    </xf>
    <xf numFmtId="0" fontId="14" fillId="9" borderId="38" xfId="0" applyFont="1" applyFill="1" applyBorder="1" applyAlignment="1">
      <alignment horizontal="center" vertical="center" wrapText="1"/>
    </xf>
    <xf numFmtId="10" fontId="22" fillId="9" borderId="38" xfId="0" applyNumberFormat="1" applyFont="1" applyFill="1" applyBorder="1" applyAlignment="1">
      <alignment horizontal="center" vertical="center" wrapText="1"/>
    </xf>
    <xf numFmtId="9" fontId="71" fillId="9" borderId="38" xfId="0" applyNumberFormat="1" applyFont="1" applyFill="1" applyBorder="1" applyAlignment="1">
      <alignment horizontal="center" vertical="center" wrapText="1"/>
    </xf>
    <xf numFmtId="192" fontId="71" fillId="9" borderId="38" xfId="0" applyNumberFormat="1" applyFont="1" applyFill="1" applyBorder="1" applyAlignment="1">
      <alignment horizontal="center" vertical="center" wrapText="1"/>
    </xf>
    <xf numFmtId="183" fontId="71" fillId="9" borderId="29" xfId="0" applyNumberFormat="1" applyFont="1" applyFill="1" applyBorder="1" applyAlignment="1">
      <alignment horizontal="center" vertical="center" wrapText="1"/>
    </xf>
    <xf numFmtId="10" fontId="74" fillId="15" borderId="38" xfId="3" applyNumberFormat="1" applyFont="1" applyFill="1" applyBorder="1" applyAlignment="1">
      <alignment horizontal="center" vertical="center" wrapText="1"/>
    </xf>
    <xf numFmtId="0" fontId="65" fillId="2" borderId="33" xfId="0" applyFont="1" applyFill="1" applyBorder="1" applyAlignment="1">
      <alignment horizontal="center" vertical="center" wrapText="1"/>
    </xf>
    <xf numFmtId="0" fontId="65" fillId="2" borderId="34" xfId="0" applyFont="1" applyFill="1" applyBorder="1" applyAlignment="1">
      <alignment horizontal="center" vertical="center" wrapText="1"/>
    </xf>
    <xf numFmtId="0" fontId="65" fillId="2" borderId="35" xfId="0" applyFont="1" applyFill="1" applyBorder="1" applyAlignment="1">
      <alignment horizontal="center" vertical="center" wrapText="1"/>
    </xf>
    <xf numFmtId="0" fontId="65" fillId="2" borderId="1" xfId="0" applyFont="1" applyFill="1" applyBorder="1" applyAlignment="1">
      <alignment horizontal="left" vertical="center" wrapText="1"/>
    </xf>
    <xf numFmtId="0" fontId="65" fillId="2" borderId="1" xfId="0" applyFont="1" applyFill="1" applyBorder="1" applyAlignment="1">
      <alignment horizontal="center" vertical="center" wrapText="1"/>
    </xf>
    <xf numFmtId="0" fontId="65" fillId="2" borderId="71" xfId="0" applyFont="1" applyFill="1" applyBorder="1" applyAlignment="1">
      <alignment horizontal="center" vertical="center" wrapText="1"/>
    </xf>
    <xf numFmtId="0" fontId="65" fillId="2" borderId="8" xfId="0" applyFont="1" applyFill="1" applyBorder="1" applyAlignment="1">
      <alignment horizontal="center" vertical="center" wrapText="1"/>
    </xf>
    <xf numFmtId="0" fontId="65" fillId="2" borderId="9" xfId="0" applyFont="1" applyFill="1" applyBorder="1" applyAlignment="1">
      <alignment horizontal="center" vertical="center" wrapText="1"/>
    </xf>
    <xf numFmtId="0" fontId="65" fillId="2" borderId="72" xfId="0" applyFont="1" applyFill="1" applyBorder="1" applyAlignment="1">
      <alignment horizontal="center" vertical="center" wrapText="1"/>
    </xf>
    <xf numFmtId="0" fontId="65" fillId="0" borderId="1" xfId="0" applyFont="1" applyBorder="1" applyAlignment="1">
      <alignment vertical="center" wrapText="1"/>
    </xf>
    <xf numFmtId="190" fontId="65" fillId="2" borderId="0" xfId="0" applyNumberFormat="1" applyFont="1" applyFill="1" applyAlignment="1">
      <alignment horizontal="center" vertical="center" wrapText="1"/>
    </xf>
    <xf numFmtId="0" fontId="65" fillId="2" borderId="73" xfId="0" applyFont="1" applyFill="1" applyBorder="1" applyAlignment="1">
      <alignment horizontal="center" vertical="center" wrapText="1"/>
    </xf>
    <xf numFmtId="0" fontId="65" fillId="2" borderId="10" xfId="0" applyFont="1" applyFill="1" applyBorder="1" applyAlignment="1">
      <alignment horizontal="center" vertical="center" wrapText="1"/>
    </xf>
    <xf numFmtId="0" fontId="65" fillId="2" borderId="11" xfId="0" applyFont="1" applyFill="1" applyBorder="1" applyAlignment="1">
      <alignment horizontal="center" vertical="center" wrapText="1"/>
    </xf>
    <xf numFmtId="0" fontId="65" fillId="2" borderId="12" xfId="0" applyFont="1" applyFill="1" applyBorder="1" applyAlignment="1">
      <alignment horizontal="center" vertical="center" wrapText="1"/>
    </xf>
    <xf numFmtId="0" fontId="65" fillId="2" borderId="26" xfId="0" applyFont="1" applyFill="1" applyBorder="1" applyAlignment="1">
      <alignment horizontal="center" vertical="center" wrapText="1"/>
    </xf>
    <xf numFmtId="0" fontId="65" fillId="2" borderId="25" xfId="0" applyFont="1" applyFill="1" applyBorder="1" applyAlignment="1">
      <alignment horizontal="left" vertical="center" wrapText="1"/>
    </xf>
    <xf numFmtId="2" fontId="65" fillId="2" borderId="1" xfId="0" applyNumberFormat="1" applyFont="1" applyFill="1" applyBorder="1" applyAlignment="1">
      <alignment horizontal="center" vertical="center" wrapText="1"/>
    </xf>
    <xf numFmtId="0" fontId="65" fillId="2" borderId="27" xfId="0" applyFont="1" applyFill="1" applyBorder="1" applyAlignment="1">
      <alignment horizontal="left" vertical="center" wrapText="1"/>
    </xf>
    <xf numFmtId="0" fontId="65" fillId="2" borderId="28" xfId="0" applyFont="1" applyFill="1" applyBorder="1" applyAlignment="1">
      <alignment horizontal="left" vertical="center" wrapText="1"/>
    </xf>
    <xf numFmtId="0" fontId="65" fillId="2" borderId="28" xfId="0" applyFont="1" applyFill="1" applyBorder="1" applyAlignment="1">
      <alignment horizontal="center" vertical="center" wrapText="1"/>
    </xf>
    <xf numFmtId="0" fontId="65" fillId="2" borderId="29" xfId="0" applyFont="1" applyFill="1" applyBorder="1" applyAlignment="1">
      <alignment horizontal="center" vertical="center" wrapText="1"/>
    </xf>
    <xf numFmtId="0" fontId="65" fillId="2" borderId="22" xfId="0" applyFont="1" applyFill="1" applyBorder="1" applyAlignment="1">
      <alignment horizontal="center" vertical="center" wrapText="1"/>
    </xf>
    <xf numFmtId="0" fontId="65" fillId="2" borderId="23" xfId="0" applyFont="1" applyFill="1" applyBorder="1" applyAlignment="1">
      <alignment horizontal="center" vertical="center" wrapText="1"/>
    </xf>
    <xf numFmtId="0" fontId="65" fillId="2" borderId="24" xfId="0" applyFont="1" applyFill="1" applyBorder="1" applyAlignment="1">
      <alignment horizontal="center" vertical="center" wrapText="1"/>
    </xf>
    <xf numFmtId="0" fontId="65" fillId="2" borderId="25" xfId="0" applyFont="1" applyFill="1" applyBorder="1" applyAlignment="1">
      <alignment horizontal="center" vertical="center" wrapText="1"/>
    </xf>
    <xf numFmtId="2" fontId="65" fillId="2" borderId="26" xfId="0" applyNumberFormat="1" applyFont="1" applyFill="1" applyBorder="1" applyAlignment="1">
      <alignment horizontal="center" vertical="center" wrapText="1"/>
    </xf>
    <xf numFmtId="2" fontId="65" fillId="2" borderId="0" xfId="0" applyNumberFormat="1" applyFont="1" applyFill="1" applyBorder="1" applyAlignment="1">
      <alignment horizontal="center" vertical="center" wrapText="1"/>
    </xf>
    <xf numFmtId="2" fontId="65" fillId="2" borderId="28" xfId="0" applyNumberFormat="1" applyFont="1" applyFill="1" applyBorder="1" applyAlignment="1">
      <alignment horizontal="center" vertical="center" wrapText="1"/>
    </xf>
    <xf numFmtId="2" fontId="65" fillId="2" borderId="29" xfId="0" applyNumberFormat="1" applyFont="1" applyFill="1" applyBorder="1" applyAlignment="1">
      <alignment horizontal="center" vertical="center" wrapText="1"/>
    </xf>
    <xf numFmtId="1" fontId="89" fillId="0" borderId="0" xfId="0" applyNumberFormat="1" applyFont="1"/>
    <xf numFmtId="10" fontId="89" fillId="0" borderId="0" xfId="0" applyNumberFormat="1" applyFont="1"/>
    <xf numFmtId="0" fontId="89" fillId="0" borderId="0" xfId="0" applyFont="1"/>
    <xf numFmtId="180" fontId="89" fillId="0" borderId="0" xfId="0" applyNumberFormat="1" applyFont="1"/>
    <xf numFmtId="0" fontId="29" fillId="0" borderId="0" xfId="0" applyFont="1" applyAlignment="1">
      <alignment vertical="center"/>
    </xf>
    <xf numFmtId="0" fontId="89" fillId="0" borderId="0" xfId="0" applyFont="1" applyAlignment="1">
      <alignment vertical="center"/>
    </xf>
    <xf numFmtId="180" fontId="89" fillId="0" borderId="0" xfId="0" applyNumberFormat="1" applyFont="1" applyAlignment="1">
      <alignment horizontal="center" vertical="center"/>
    </xf>
    <xf numFmtId="180" fontId="89" fillId="0" borderId="0" xfId="0" applyNumberFormat="1" applyFont="1" applyAlignment="1">
      <alignment vertical="center"/>
    </xf>
    <xf numFmtId="0" fontId="90" fillId="0" borderId="0" xfId="0" applyFont="1" applyAlignment="1">
      <alignment horizontal="center" vertical="center"/>
    </xf>
    <xf numFmtId="180" fontId="89" fillId="0" borderId="0" xfId="0" applyNumberFormat="1" applyFont="1" applyBorder="1" applyAlignment="1">
      <alignment horizontal="right" vertical="center"/>
    </xf>
    <xf numFmtId="180" fontId="29" fillId="0" borderId="0" xfId="0" applyNumberFormat="1" applyFont="1" applyBorder="1" applyAlignment="1">
      <alignment horizontal="right" vertical="center"/>
    </xf>
    <xf numFmtId="0" fontId="89" fillId="0" borderId="13" xfId="0" applyFont="1" applyBorder="1" applyAlignment="1">
      <alignment horizontal="center" vertical="center"/>
    </xf>
    <xf numFmtId="0" fontId="89" fillId="0" borderId="15" xfId="0" applyFont="1" applyBorder="1" applyAlignment="1">
      <alignment vertical="center" wrapText="1"/>
    </xf>
    <xf numFmtId="180" fontId="89" fillId="0" borderId="13" xfId="0" applyNumberFormat="1" applyFont="1" applyBorder="1" applyAlignment="1">
      <alignment horizontal="center" vertical="center"/>
    </xf>
    <xf numFmtId="180" fontId="29" fillId="0" borderId="2" xfId="0" applyNumberFormat="1" applyFont="1" applyBorder="1" applyAlignment="1">
      <alignment horizontal="center" vertical="center"/>
    </xf>
    <xf numFmtId="180" fontId="29" fillId="0" borderId="3" xfId="0" applyNumberFormat="1" applyFont="1" applyBorder="1" applyAlignment="1">
      <alignment horizontal="center" vertical="center"/>
    </xf>
    <xf numFmtId="180" fontId="29" fillId="0" borderId="4" xfId="0" applyNumberFormat="1" applyFont="1" applyBorder="1" applyAlignment="1">
      <alignment horizontal="center" vertical="center"/>
    </xf>
    <xf numFmtId="0" fontId="89" fillId="0" borderId="14" xfId="0" applyFont="1" applyBorder="1" applyAlignment="1">
      <alignment horizontal="center" vertical="center"/>
    </xf>
    <xf numFmtId="0" fontId="29" fillId="0" borderId="16" xfId="0" applyFont="1" applyBorder="1" applyAlignment="1">
      <alignment vertical="center"/>
    </xf>
    <xf numFmtId="180" fontId="89" fillId="0" borderId="14" xfId="0" applyNumberFormat="1" applyFont="1" applyBorder="1" applyAlignment="1">
      <alignment horizontal="center" vertical="center"/>
    </xf>
    <xf numFmtId="180" fontId="89" fillId="0" borderId="1" xfId="0" applyNumberFormat="1" applyFont="1" applyBorder="1" applyAlignment="1">
      <alignment horizontal="center" vertical="center"/>
    </xf>
    <xf numFmtId="0" fontId="89" fillId="0" borderId="1" xfId="0" applyFont="1" applyFill="1" applyBorder="1" applyAlignment="1">
      <alignment horizontal="center" vertical="center"/>
    </xf>
    <xf numFmtId="0" fontId="89" fillId="0" borderId="1" xfId="0" applyFont="1" applyFill="1" applyBorder="1" applyAlignment="1">
      <alignment vertical="center"/>
    </xf>
    <xf numFmtId="180" fontId="89" fillId="0" borderId="1" xfId="0" applyNumberFormat="1" applyFont="1" applyBorder="1" applyAlignment="1">
      <alignment horizontal="left" vertical="center"/>
    </xf>
    <xf numFmtId="180" fontId="89" fillId="0" borderId="1" xfId="0" applyNumberFormat="1" applyFont="1" applyFill="1" applyBorder="1" applyAlignment="1">
      <alignment horizontal="center" vertical="center"/>
    </xf>
    <xf numFmtId="0" fontId="89" fillId="0" borderId="0" xfId="0" applyFont="1" applyFill="1"/>
    <xf numFmtId="0" fontId="29" fillId="0" borderId="1" xfId="0" applyFont="1" applyFill="1" applyBorder="1" applyAlignment="1">
      <alignment vertical="center"/>
    </xf>
    <xf numFmtId="193" fontId="89" fillId="0" borderId="1" xfId="0" applyNumberFormat="1" applyFont="1" applyFill="1" applyBorder="1" applyAlignment="1">
      <alignment horizontal="center" vertical="center"/>
    </xf>
    <xf numFmtId="1" fontId="29" fillId="0" borderId="1" xfId="0" applyNumberFormat="1" applyFont="1" applyFill="1" applyBorder="1" applyAlignment="1">
      <alignment vertical="center"/>
    </xf>
    <xf numFmtId="1" fontId="89" fillId="0" borderId="1" xfId="0" applyNumberFormat="1" applyFont="1" applyBorder="1" applyAlignment="1">
      <alignment horizontal="left" vertical="center"/>
    </xf>
    <xf numFmtId="1" fontId="89" fillId="0" borderId="1" xfId="0" applyNumberFormat="1" applyFont="1" applyFill="1" applyBorder="1" applyAlignment="1">
      <alignment horizontal="center" vertical="center"/>
    </xf>
    <xf numFmtId="1" fontId="89" fillId="0" borderId="0" xfId="0" applyNumberFormat="1" applyFont="1" applyFill="1"/>
    <xf numFmtId="0" fontId="89" fillId="0" borderId="1" xfId="0" applyFont="1" applyBorder="1" applyAlignment="1">
      <alignment horizontal="center" vertical="center"/>
    </xf>
    <xf numFmtId="0" fontId="89" fillId="0" borderId="1" xfId="0" applyFont="1" applyBorder="1" applyAlignment="1">
      <alignment vertical="center"/>
    </xf>
    <xf numFmtId="0" fontId="19" fillId="0" borderId="0" xfId="0" applyFont="1"/>
    <xf numFmtId="176" fontId="89" fillId="0" borderId="1" xfId="1" applyFont="1" applyBorder="1" applyAlignment="1">
      <alignment horizontal="left" vertical="center"/>
    </xf>
    <xf numFmtId="176" fontId="89" fillId="0" borderId="0" xfId="1" applyFont="1" applyAlignment="1"/>
    <xf numFmtId="0" fontId="29" fillId="7" borderId="2" xfId="0" applyFont="1" applyFill="1" applyBorder="1" applyAlignment="1">
      <alignment horizontal="center" vertical="center" wrapText="1"/>
    </xf>
    <xf numFmtId="0" fontId="89" fillId="7" borderId="3" xfId="0" applyFont="1" applyFill="1" applyBorder="1" applyAlignment="1">
      <alignment horizontal="center" vertical="center" wrapText="1"/>
    </xf>
    <xf numFmtId="0" fontId="89" fillId="7" borderId="4" xfId="0" applyFont="1" applyFill="1" applyBorder="1" applyAlignment="1">
      <alignment horizontal="center" vertical="center" wrapText="1"/>
    </xf>
    <xf numFmtId="193" fontId="89" fillId="0" borderId="0" xfId="0" applyNumberFormat="1" applyFont="1"/>
    <xf numFmtId="0" fontId="89" fillId="0" borderId="22" xfId="0" applyFont="1" applyFill="1" applyBorder="1"/>
    <xf numFmtId="0" fontId="89" fillId="0" borderId="23" xfId="0" applyFont="1" applyFill="1" applyBorder="1"/>
    <xf numFmtId="180" fontId="29" fillId="0" borderId="23" xfId="0" applyNumberFormat="1" applyFont="1" applyFill="1" applyBorder="1"/>
    <xf numFmtId="180" fontId="89" fillId="0" borderId="23" xfId="0" applyNumberFormat="1" applyFont="1" applyFill="1" applyBorder="1"/>
    <xf numFmtId="180" fontId="89" fillId="0" borderId="24" xfId="0" applyNumberFormat="1" applyFont="1" applyFill="1" applyBorder="1"/>
    <xf numFmtId="0" fontId="29" fillId="0" borderId="74" xfId="0" applyFont="1" applyFill="1" applyBorder="1" applyAlignment="1">
      <alignment horizontal="center" vertical="center" wrapText="1"/>
    </xf>
    <xf numFmtId="0" fontId="29" fillId="0" borderId="1" xfId="0" applyFont="1" applyFill="1" applyBorder="1"/>
    <xf numFmtId="193" fontId="89" fillId="0" borderId="1" xfId="0" applyNumberFormat="1" applyFont="1" applyFill="1" applyBorder="1"/>
    <xf numFmtId="180" fontId="89" fillId="0" borderId="1" xfId="0" applyNumberFormat="1" applyFont="1" applyFill="1" applyBorder="1"/>
    <xf numFmtId="0" fontId="89" fillId="0" borderId="71" xfId="0" applyFont="1" applyFill="1" applyBorder="1" applyAlignment="1">
      <alignment horizontal="center" vertical="center" wrapText="1"/>
    </xf>
    <xf numFmtId="10" fontId="29" fillId="0" borderId="1" xfId="0" applyNumberFormat="1" applyFont="1" applyFill="1" applyBorder="1"/>
    <xf numFmtId="10" fontId="89" fillId="0" borderId="1" xfId="0" applyNumberFormat="1" applyFont="1" applyFill="1" applyBorder="1"/>
    <xf numFmtId="10" fontId="89" fillId="0" borderId="1" xfId="3" applyNumberFormat="1" applyFont="1" applyFill="1" applyBorder="1" applyAlignment="1"/>
    <xf numFmtId="10" fontId="89" fillId="8" borderId="1" xfId="3" applyNumberFormat="1" applyFont="1" applyFill="1" applyBorder="1" applyAlignment="1"/>
    <xf numFmtId="0" fontId="89" fillId="0" borderId="73" xfId="0" applyFont="1" applyFill="1" applyBorder="1" applyAlignment="1">
      <alignment horizontal="center" vertical="center" wrapText="1"/>
    </xf>
    <xf numFmtId="186" fontId="89" fillId="0" borderId="1" xfId="0" applyNumberFormat="1" applyFont="1" applyFill="1" applyBorder="1"/>
    <xf numFmtId="180" fontId="89" fillId="0" borderId="26" xfId="0" applyNumberFormat="1" applyFont="1" applyFill="1" applyBorder="1"/>
    <xf numFmtId="0" fontId="89" fillId="0" borderId="56" xfId="0" applyFont="1" applyFill="1" applyBorder="1" applyAlignment="1">
      <alignment horizontal="center" vertical="center" wrapText="1"/>
    </xf>
    <xf numFmtId="0" fontId="29" fillId="0" borderId="0" xfId="0" applyFont="1" applyFill="1" applyBorder="1"/>
    <xf numFmtId="180" fontId="89" fillId="0" borderId="0" xfId="0" applyNumberFormat="1" applyFont="1" applyFill="1" applyBorder="1"/>
    <xf numFmtId="193" fontId="89" fillId="0" borderId="0" xfId="0" applyNumberFormat="1" applyFont="1" applyFill="1" applyBorder="1"/>
    <xf numFmtId="186" fontId="89" fillId="0" borderId="0" xfId="0" applyNumberFormat="1" applyFont="1" applyFill="1" applyBorder="1"/>
    <xf numFmtId="180" fontId="89" fillId="0" borderId="72" xfId="0" applyNumberFormat="1" applyFont="1" applyFill="1" applyBorder="1"/>
    <xf numFmtId="0" fontId="19" fillId="0" borderId="56" xfId="0" applyFont="1" applyFill="1" applyBorder="1" applyAlignment="1">
      <alignment horizontal="center" vertical="center" wrapText="1"/>
    </xf>
    <xf numFmtId="10" fontId="89" fillId="0" borderId="0" xfId="3" applyNumberFormat="1" applyFont="1" applyFill="1" applyBorder="1" applyAlignment="1"/>
    <xf numFmtId="0" fontId="89" fillId="0" borderId="56" xfId="0" applyFont="1" applyBorder="1"/>
    <xf numFmtId="0" fontId="89" fillId="0" borderId="0" xfId="0" applyFont="1" applyBorder="1"/>
    <xf numFmtId="180" fontId="89" fillId="0" borderId="0" xfId="0" applyNumberFormat="1" applyFont="1" applyBorder="1"/>
    <xf numFmtId="193" fontId="89" fillId="0" borderId="0" xfId="0" applyNumberFormat="1" applyFont="1" applyBorder="1"/>
    <xf numFmtId="0" fontId="89" fillId="0" borderId="72" xfId="0" applyFont="1" applyBorder="1"/>
    <xf numFmtId="0" fontId="89" fillId="0" borderId="74" xfId="0" applyFont="1" applyFill="1" applyBorder="1" applyAlignment="1">
      <alignment horizontal="center" vertical="center"/>
    </xf>
    <xf numFmtId="0" fontId="89" fillId="0" borderId="71" xfId="0" applyFont="1" applyFill="1" applyBorder="1" applyAlignment="1">
      <alignment horizontal="center" vertical="center"/>
    </xf>
    <xf numFmtId="10" fontId="89" fillId="8" borderId="26" xfId="3" applyNumberFormat="1" applyFont="1" applyFill="1" applyBorder="1" applyAlignment="1"/>
    <xf numFmtId="0" fontId="89" fillId="0" borderId="75" xfId="0" applyFont="1" applyFill="1" applyBorder="1" applyAlignment="1">
      <alignment horizontal="center" vertical="center"/>
    </xf>
    <xf numFmtId="0" fontId="29" fillId="0" borderId="28" xfId="0" applyFont="1" applyFill="1" applyBorder="1"/>
    <xf numFmtId="180" fontId="89" fillId="0" borderId="28" xfId="0" applyNumberFormat="1" applyFont="1" applyFill="1" applyBorder="1"/>
    <xf numFmtId="193" fontId="89" fillId="0" borderId="28" xfId="0" applyNumberFormat="1" applyFont="1" applyFill="1" applyBorder="1"/>
    <xf numFmtId="186" fontId="89" fillId="0" borderId="28" xfId="0" applyNumberFormat="1" applyFont="1" applyFill="1" applyBorder="1"/>
    <xf numFmtId="180" fontId="89" fillId="0" borderId="29" xfId="0" applyNumberFormat="1" applyFont="1" applyFill="1" applyBorder="1"/>
    <xf numFmtId="181" fontId="7" fillId="0" borderId="0" xfId="0" applyNumberFormat="1" applyFont="1" applyAlignment="1">
      <alignment horizontal="center" vertical="center"/>
    </xf>
    <xf numFmtId="180" fontId="0" fillId="0" borderId="2" xfId="0" applyNumberFormat="1" applyFont="1" applyBorder="1" applyAlignment="1">
      <alignment horizontal="center" vertical="center"/>
    </xf>
    <xf numFmtId="180" fontId="0" fillId="0" borderId="3" xfId="0" applyNumberFormat="1" applyFont="1" applyBorder="1" applyAlignment="1">
      <alignment horizontal="center" vertical="center"/>
    </xf>
    <xf numFmtId="180" fontId="0" fillId="0" borderId="4" xfId="0" applyNumberFormat="1" applyFont="1" applyBorder="1" applyAlignment="1">
      <alignment horizontal="center" vertical="center"/>
    </xf>
    <xf numFmtId="0" fontId="0" fillId="0" borderId="1" xfId="0" applyBorder="1" applyAlignment="1">
      <alignment horizontal="left" vertical="center"/>
    </xf>
    <xf numFmtId="0" fontId="7" fillId="7" borderId="1" xfId="0" applyFont="1" applyFill="1" applyBorder="1" applyAlignment="1">
      <alignment horizontal="center" vertical="center"/>
    </xf>
    <xf numFmtId="0" fontId="7" fillId="7" borderId="1" xfId="0" applyFont="1" applyFill="1" applyBorder="1" applyAlignment="1">
      <alignment horizontal="left" vertical="center"/>
    </xf>
    <xf numFmtId="181" fontId="7" fillId="7" borderId="1" xfId="0" applyNumberFormat="1" applyFont="1" applyFill="1" applyBorder="1" applyAlignment="1">
      <alignment horizontal="right" vertical="center"/>
    </xf>
    <xf numFmtId="181" fontId="10" fillId="0" borderId="1" xfId="0" applyNumberFormat="1" applyFont="1" applyBorder="1" applyAlignment="1">
      <alignment horizontal="right" vertical="center"/>
    </xf>
    <xf numFmtId="10" fontId="7" fillId="0" borderId="0" xfId="3" applyNumberFormat="1" applyFont="1" applyAlignment="1">
      <alignment horizontal="center"/>
    </xf>
    <xf numFmtId="0" fontId="0" fillId="0" borderId="0" xfId="0" applyFont="1" applyAlignment="1">
      <alignment horizontal="center"/>
    </xf>
    <xf numFmtId="0" fontId="0" fillId="0" borderId="0" xfId="0" applyFont="1" applyBorder="1" applyAlignment="1">
      <alignment horizontal="right" vertical="center"/>
    </xf>
    <xf numFmtId="180" fontId="10" fillId="0" borderId="1" xfId="0" applyNumberFormat="1" applyFont="1" applyBorder="1" applyAlignment="1">
      <alignment horizontal="center" vertical="center"/>
    </xf>
    <xf numFmtId="180" fontId="7" fillId="0" borderId="1" xfId="0" applyNumberFormat="1" applyFont="1" applyBorder="1" applyAlignment="1" applyProtection="1">
      <alignment horizontal="center" vertical="center"/>
      <protection locked="0"/>
    </xf>
    <xf numFmtId="0" fontId="9" fillId="0" borderId="2" xfId="0" applyFont="1" applyBorder="1" applyAlignment="1">
      <alignment horizontal="left" vertical="center"/>
    </xf>
    <xf numFmtId="0" fontId="9" fillId="0" borderId="1" xfId="0" applyFont="1" applyBorder="1" applyAlignment="1">
      <alignment horizontal="left" vertical="center"/>
    </xf>
    <xf numFmtId="0" fontId="7" fillId="0" borderId="13" xfId="0" applyFont="1" applyBorder="1" applyAlignment="1">
      <alignment horizontal="left" vertical="center"/>
    </xf>
    <xf numFmtId="0" fontId="76" fillId="0" borderId="1" xfId="0" applyFont="1" applyBorder="1" applyAlignment="1">
      <alignment horizontal="left" vertical="center"/>
    </xf>
    <xf numFmtId="10" fontId="10" fillId="0" borderId="1" xfId="0" applyNumberFormat="1" applyFont="1" applyBorder="1" applyAlignment="1">
      <alignment vertical="center"/>
    </xf>
    <xf numFmtId="214" fontId="10" fillId="0" borderId="1" xfId="0" applyNumberFormat="1" applyFont="1" applyBorder="1" applyAlignment="1">
      <alignment vertical="center"/>
    </xf>
    <xf numFmtId="184" fontId="7" fillId="0" borderId="1" xfId="0" applyNumberFormat="1" applyFont="1" applyBorder="1" applyAlignment="1"/>
    <xf numFmtId="10" fontId="10" fillId="0" borderId="4" xfId="0" applyNumberFormat="1" applyFont="1" applyBorder="1" applyAlignment="1">
      <alignment vertical="center"/>
    </xf>
    <xf numFmtId="214" fontId="10" fillId="0" borderId="4" xfId="0" applyNumberFormat="1" applyFont="1" applyBorder="1" applyAlignment="1">
      <alignment vertical="center"/>
    </xf>
    <xf numFmtId="215" fontId="7" fillId="0" borderId="1" xfId="0" applyNumberFormat="1" applyFont="1" applyBorder="1" applyAlignment="1">
      <alignment horizontal="center" vertical="center"/>
    </xf>
    <xf numFmtId="184" fontId="7" fillId="0" borderId="4" xfId="0" applyNumberFormat="1" applyFont="1" applyBorder="1" applyAlignment="1"/>
    <xf numFmtId="0" fontId="0" fillId="0" borderId="13" xfId="0" applyFont="1" applyBorder="1" applyAlignment="1">
      <alignment horizontal="center" vertical="center"/>
    </xf>
    <xf numFmtId="0" fontId="7" fillId="0" borderId="76" xfId="0" applyFont="1" applyBorder="1" applyAlignment="1">
      <alignment horizontal="left"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4" xfId="0" applyFont="1" applyBorder="1" applyAlignment="1">
      <alignment horizontal="center" vertical="center"/>
    </xf>
    <xf numFmtId="0" fontId="0" fillId="0" borderId="77" xfId="0" applyBorder="1" applyAlignment="1">
      <alignment horizontal="left" vertical="center"/>
    </xf>
    <xf numFmtId="0" fontId="10" fillId="0" borderId="2" xfId="0" applyFont="1" applyBorder="1" applyAlignment="1">
      <alignment horizontal="left" vertical="center"/>
    </xf>
    <xf numFmtId="0" fontId="0" fillId="0" borderId="2" xfId="0" applyFont="1" applyBorder="1" applyAlignment="1">
      <alignment horizontal="left" vertical="center"/>
    </xf>
    <xf numFmtId="0" fontId="0" fillId="0" borderId="2" xfId="0" applyFont="1" applyFill="1" applyBorder="1" applyAlignment="1">
      <alignment horizontal="left" vertical="center"/>
    </xf>
    <xf numFmtId="0" fontId="7" fillId="0" borderId="2" xfId="0" applyFont="1" applyBorder="1" applyAlignment="1">
      <alignment horizontal="left" vertical="center"/>
    </xf>
    <xf numFmtId="0" fontId="0" fillId="0" borderId="2" xfId="0" applyFont="1" applyBorder="1" applyAlignment="1">
      <alignment vertical="center"/>
    </xf>
    <xf numFmtId="10" fontId="7" fillId="0" borderId="1" xfId="0" applyNumberFormat="1" applyFont="1" applyBorder="1" applyAlignment="1">
      <alignment vertical="center"/>
    </xf>
    <xf numFmtId="183" fontId="7" fillId="0" borderId="4" xfId="0" applyNumberFormat="1" applyFont="1" applyBorder="1" applyAlignment="1">
      <alignment vertical="center"/>
    </xf>
    <xf numFmtId="216" fontId="7" fillId="0" borderId="1" xfId="0" applyNumberFormat="1" applyFont="1" applyBorder="1" applyAlignment="1">
      <alignment vertical="center"/>
    </xf>
    <xf numFmtId="216" fontId="7" fillId="0" borderId="4" xfId="0" applyNumberFormat="1" applyFont="1" applyBorder="1" applyAlignment="1">
      <alignment vertical="center"/>
    </xf>
    <xf numFmtId="184" fontId="7" fillId="0" borderId="1" xfId="0" applyNumberFormat="1" applyFont="1" applyBorder="1" applyAlignment="1">
      <alignment vertical="center"/>
    </xf>
    <xf numFmtId="184" fontId="7" fillId="0" borderId="4" xfId="0" applyNumberFormat="1" applyFont="1" applyBorder="1" applyAlignment="1">
      <alignment vertical="center"/>
    </xf>
    <xf numFmtId="0" fontId="7" fillId="0" borderId="4" xfId="0" applyFont="1" applyBorder="1" applyAlignment="1">
      <alignment vertical="center"/>
    </xf>
    <xf numFmtId="2" fontId="7" fillId="0" borderId="1" xfId="0" applyNumberFormat="1" applyFont="1" applyBorder="1" applyAlignment="1">
      <alignment vertical="center"/>
    </xf>
    <xf numFmtId="2" fontId="7" fillId="0" borderId="4" xfId="0" applyNumberFormat="1" applyFont="1" applyBorder="1" applyAlignment="1">
      <alignment vertical="center"/>
    </xf>
    <xf numFmtId="9" fontId="7" fillId="0" borderId="0" xfId="0" applyNumberFormat="1" applyFont="1"/>
    <xf numFmtId="0" fontId="7" fillId="7" borderId="0" xfId="0" applyFont="1" applyFill="1"/>
    <xf numFmtId="182" fontId="0" fillId="0" borderId="0" xfId="1" applyNumberFormat="1" applyFont="1" applyAlignment="1">
      <alignment vertical="center"/>
    </xf>
    <xf numFmtId="0" fontId="12" fillId="0" borderId="0" xfId="0" applyFont="1"/>
    <xf numFmtId="0" fontId="12" fillId="0" borderId="0" xfId="0" applyFont="1" applyAlignment="1">
      <alignment vertical="center"/>
    </xf>
    <xf numFmtId="0" fontId="91" fillId="0" borderId="0" xfId="0" applyFont="1"/>
    <xf numFmtId="0" fontId="12" fillId="0" borderId="0" xfId="0" applyFont="1" applyAlignment="1">
      <alignment horizontal="center" vertical="center"/>
    </xf>
    <xf numFmtId="181" fontId="0" fillId="0" borderId="0" xfId="0" applyNumberFormat="1" applyAlignment="1">
      <alignment horizontal="center" vertical="center"/>
    </xf>
    <xf numFmtId="181" fontId="0" fillId="0" borderId="0" xfId="0" applyNumberFormat="1" applyAlignment="1">
      <alignment horizontal="right" vertical="center"/>
    </xf>
    <xf numFmtId="0" fontId="12" fillId="0" borderId="15" xfId="0" applyFont="1" applyBorder="1" applyAlignment="1">
      <alignment horizontal="left" vertical="center" wrapText="1"/>
    </xf>
    <xf numFmtId="0" fontId="0" fillId="0" borderId="13" xfId="0" applyFont="1" applyBorder="1" applyAlignment="1">
      <alignment horizontal="center" vertical="center" wrapText="1"/>
    </xf>
    <xf numFmtId="0" fontId="92" fillId="0" borderId="16" xfId="0" applyFont="1" applyBorder="1" applyAlignment="1">
      <alignment horizontal="left" vertical="center"/>
    </xf>
    <xf numFmtId="0" fontId="7" fillId="0" borderId="14" xfId="0" applyFont="1" applyBorder="1" applyAlignment="1">
      <alignment horizontal="center" vertical="center" wrapText="1"/>
    </xf>
    <xf numFmtId="0" fontId="92" fillId="0" borderId="1" xfId="0" applyFont="1" applyBorder="1" applyAlignment="1">
      <alignment horizontal="left" vertical="center"/>
    </xf>
    <xf numFmtId="181" fontId="7" fillId="0" borderId="1" xfId="0" applyNumberFormat="1" applyFont="1" applyBorder="1" applyAlignment="1">
      <alignment horizontal="left" vertical="center"/>
    </xf>
    <xf numFmtId="0" fontId="12" fillId="0" borderId="1" xfId="0" applyFont="1" applyBorder="1" applyAlignment="1">
      <alignment horizontal="left" vertical="center"/>
    </xf>
    <xf numFmtId="0" fontId="93" fillId="0" borderId="1" xfId="0" applyFont="1" applyBorder="1" applyAlignment="1">
      <alignment horizontal="left" vertical="center"/>
    </xf>
    <xf numFmtId="0" fontId="94" fillId="0" borderId="0" xfId="0" applyFont="1"/>
    <xf numFmtId="0" fontId="95" fillId="7" borderId="1" xfId="0" applyFont="1" applyFill="1" applyBorder="1" applyAlignment="1">
      <alignment horizontal="left" vertical="center"/>
    </xf>
    <xf numFmtId="181" fontId="7" fillId="7" borderId="1" xfId="0" applyNumberFormat="1" applyFont="1" applyFill="1" applyBorder="1" applyAlignment="1">
      <alignment horizontal="left" vertical="center"/>
    </xf>
    <xf numFmtId="181" fontId="7" fillId="7" borderId="1" xfId="0" applyNumberFormat="1" applyFont="1" applyFill="1" applyBorder="1" applyAlignment="1">
      <alignment horizontal="center" vertical="center"/>
    </xf>
    <xf numFmtId="0" fontId="12" fillId="7" borderId="1" xfId="0" applyFont="1" applyFill="1" applyBorder="1" applyAlignment="1">
      <alignment horizontal="left" vertical="center"/>
    </xf>
    <xf numFmtId="0" fontId="12" fillId="0" borderId="1" xfId="0" applyFont="1" applyBorder="1" applyAlignment="1">
      <alignment horizontal="left" vertical="center" wrapText="1"/>
    </xf>
    <xf numFmtId="0" fontId="7" fillId="0" borderId="1" xfId="0" applyFont="1" applyBorder="1" applyAlignment="1">
      <alignment horizontal="left" vertical="center" wrapText="1"/>
    </xf>
    <xf numFmtId="0" fontId="92" fillId="0" borderId="1" xfId="0" applyFont="1" applyBorder="1" applyAlignment="1">
      <alignment horizontal="left" vertical="center" wrapText="1"/>
    </xf>
    <xf numFmtId="181" fontId="7" fillId="0" borderId="1" xfId="0" applyNumberFormat="1" applyFont="1" applyBorder="1" applyAlignment="1">
      <alignment horizontal="left" vertical="center" wrapText="1"/>
    </xf>
    <xf numFmtId="0" fontId="12" fillId="0" borderId="0" xfId="0" applyFont="1" applyAlignment="1">
      <alignment horizontal="left"/>
    </xf>
    <xf numFmtId="184" fontId="7" fillId="0" borderId="0" xfId="0" applyNumberFormat="1" applyFont="1" applyAlignment="1">
      <alignment horizontal="center"/>
    </xf>
    <xf numFmtId="1" fontId="7" fillId="0" borderId="0" xfId="0" applyNumberFormat="1" applyFont="1" applyAlignment="1">
      <alignment horizontal="left"/>
    </xf>
    <xf numFmtId="1" fontId="11" fillId="0" borderId="0" xfId="0" applyNumberFormat="1" applyFont="1" applyAlignment="1">
      <alignment horizontal="center"/>
    </xf>
    <xf numFmtId="0" fontId="95" fillId="0" borderId="0" xfId="0" applyFont="1" applyAlignment="1">
      <alignment horizontal="left"/>
    </xf>
    <xf numFmtId="182" fontId="7" fillId="0" borderId="0" xfId="1" applyNumberFormat="1" applyFont="1" applyAlignment="1">
      <alignment horizontal="center"/>
    </xf>
    <xf numFmtId="182" fontId="95" fillId="0" borderId="0" xfId="1" applyNumberFormat="1" applyFont="1" applyAlignment="1">
      <alignment horizontal="center"/>
    </xf>
    <xf numFmtId="181" fontId="12" fillId="0" borderId="0" xfId="0" applyNumberFormat="1" applyFont="1" applyAlignment="1">
      <alignment horizontal="center"/>
    </xf>
    <xf numFmtId="0" fontId="12" fillId="0" borderId="0" xfId="0" applyFont="1" applyAlignment="1">
      <alignment horizontal="center"/>
    </xf>
    <xf numFmtId="0" fontId="92" fillId="0" borderId="0" xfId="0" applyFont="1" applyAlignment="1">
      <alignment horizontal="center"/>
    </xf>
    <xf numFmtId="9" fontId="7" fillId="0" borderId="0" xfId="0" applyNumberFormat="1" applyFont="1" applyAlignment="1">
      <alignment horizontal="center"/>
    </xf>
    <xf numFmtId="180" fontId="7" fillId="0" borderId="0" xfId="0" applyNumberFormat="1" applyFont="1" applyAlignment="1">
      <alignment horizontal="center"/>
    </xf>
    <xf numFmtId="0" fontId="29" fillId="0" borderId="0" xfId="0" applyFont="1" applyFill="1" applyBorder="1" applyAlignment="1">
      <alignment vertical="center"/>
    </xf>
    <xf numFmtId="0" fontId="29" fillId="0" borderId="0" xfId="0" applyFont="1" applyFill="1" applyBorder="1" applyAlignment="1">
      <alignment horizontal="center" vertical="center"/>
    </xf>
    <xf numFmtId="0" fontId="29" fillId="0" borderId="0" xfId="0" applyFont="1" applyFill="1" applyBorder="1" applyAlignment="1">
      <alignment vertical="center" wrapText="1"/>
    </xf>
    <xf numFmtId="0" fontId="38" fillId="16" borderId="78" xfId="0" applyNumberFormat="1" applyFont="1" applyFill="1" applyBorder="1" applyAlignment="1" applyProtection="1">
      <alignment horizontal="center" vertical="center"/>
    </xf>
    <xf numFmtId="0" fontId="38" fillId="16" borderId="79" xfId="0" applyNumberFormat="1" applyFont="1" applyFill="1" applyBorder="1" applyAlignment="1" applyProtection="1">
      <alignment horizontal="center" vertical="center"/>
    </xf>
    <xf numFmtId="0" fontId="38" fillId="16" borderId="80" xfId="0" applyNumberFormat="1" applyFont="1" applyFill="1" applyBorder="1" applyAlignment="1" applyProtection="1">
      <alignment horizontal="center" vertical="center" wrapText="1"/>
    </xf>
    <xf numFmtId="0" fontId="96" fillId="16" borderId="81" xfId="0" applyNumberFormat="1" applyFont="1" applyFill="1" applyBorder="1" applyAlignment="1" applyProtection="1">
      <alignment horizontal="center" vertical="center"/>
    </xf>
    <xf numFmtId="0" fontId="96" fillId="16" borderId="82" xfId="0" applyNumberFormat="1" applyFont="1" applyFill="1" applyBorder="1" applyAlignment="1" applyProtection="1">
      <alignment horizontal="center" vertical="center" wrapText="1"/>
    </xf>
    <xf numFmtId="0" fontId="96" fillId="16" borderId="1" xfId="0" applyNumberFormat="1" applyFont="1" applyFill="1" applyBorder="1" applyAlignment="1" applyProtection="1">
      <alignment horizontal="center" vertical="center"/>
    </xf>
    <xf numFmtId="0" fontId="68" fillId="16" borderId="1" xfId="0" applyNumberFormat="1" applyFont="1" applyFill="1" applyBorder="1" applyAlignment="1" applyProtection="1">
      <alignment horizontal="center" vertical="center"/>
    </xf>
    <xf numFmtId="0" fontId="29" fillId="0" borderId="83" xfId="0" applyFont="1" applyFill="1" applyBorder="1" applyAlignment="1">
      <alignment vertical="center" wrapText="1"/>
    </xf>
    <xf numFmtId="0" fontId="97" fillId="16" borderId="1" xfId="0" applyNumberFormat="1" applyFont="1" applyFill="1" applyBorder="1" applyAlignment="1" applyProtection="1">
      <alignment horizontal="center" vertical="center"/>
    </xf>
    <xf numFmtId="184" fontId="97" fillId="16" borderId="1" xfId="0" applyNumberFormat="1" applyFont="1" applyFill="1" applyBorder="1" applyAlignment="1" applyProtection="1">
      <alignment horizontal="left" vertical="center"/>
    </xf>
    <xf numFmtId="184" fontId="97" fillId="16" borderId="1" xfId="0" applyNumberFormat="1" applyFont="1" applyFill="1" applyBorder="1" applyAlignment="1" applyProtection="1">
      <alignment horizontal="center" vertical="center"/>
    </xf>
    <xf numFmtId="184" fontId="97" fillId="16" borderId="1" xfId="0" applyNumberFormat="1" applyFont="1" applyFill="1" applyBorder="1" applyAlignment="1" applyProtection="1">
      <alignment horizontal="right" vertical="center"/>
    </xf>
    <xf numFmtId="181" fontId="97" fillId="16" borderId="1" xfId="0" applyNumberFormat="1" applyFont="1" applyFill="1" applyBorder="1" applyAlignment="1" applyProtection="1">
      <alignment horizontal="right" vertical="center"/>
    </xf>
    <xf numFmtId="184" fontId="96" fillId="16" borderId="1" xfId="0" applyNumberFormat="1" applyFont="1" applyFill="1" applyBorder="1" applyAlignment="1" applyProtection="1">
      <alignment horizontal="center" vertical="center"/>
    </xf>
    <xf numFmtId="9" fontId="29" fillId="0" borderId="0" xfId="0" applyNumberFormat="1" applyFont="1" applyFill="1" applyBorder="1" applyAlignment="1">
      <alignment vertical="center"/>
    </xf>
    <xf numFmtId="0" fontId="29" fillId="0" borderId="83" xfId="0" applyFont="1" applyFill="1" applyBorder="1" applyAlignment="1">
      <alignment horizontal="left" vertical="center" wrapText="1"/>
    </xf>
    <xf numFmtId="0" fontId="97" fillId="16" borderId="1" xfId="0" applyNumberFormat="1" applyFont="1" applyFill="1" applyBorder="1" applyAlignment="1" applyProtection="1">
      <alignment horizontal="right" vertical="center"/>
    </xf>
    <xf numFmtId="183" fontId="97" fillId="16" borderId="1" xfId="3" applyNumberFormat="1" applyFont="1" applyFill="1" applyBorder="1" applyAlignment="1" applyProtection="1">
      <alignment horizontal="right" vertical="center"/>
    </xf>
    <xf numFmtId="10" fontId="97" fillId="16" borderId="1" xfId="3" applyNumberFormat="1" applyFont="1" applyFill="1" applyBorder="1" applyAlignment="1" applyProtection="1">
      <alignment horizontal="right" vertical="center"/>
    </xf>
    <xf numFmtId="0" fontId="29" fillId="0" borderId="1" xfId="0" applyFont="1" applyFill="1" applyBorder="1" applyAlignment="1">
      <alignment vertical="center" wrapText="1"/>
    </xf>
    <xf numFmtId="0" fontId="98" fillId="0" borderId="83" xfId="0" applyFont="1" applyFill="1" applyBorder="1" applyAlignment="1">
      <alignment vertical="center" wrapText="1"/>
    </xf>
    <xf numFmtId="0" fontId="97" fillId="16" borderId="13" xfId="0" applyNumberFormat="1" applyFont="1" applyFill="1" applyBorder="1" applyAlignment="1" applyProtection="1">
      <alignment horizontal="center" vertical="center"/>
    </xf>
    <xf numFmtId="184" fontId="97" fillId="16" borderId="13" xfId="0" applyNumberFormat="1" applyFont="1" applyFill="1" applyBorder="1" applyAlignment="1" applyProtection="1">
      <alignment horizontal="left" vertical="center"/>
    </xf>
    <xf numFmtId="184" fontId="97" fillId="16" borderId="13" xfId="0" applyNumberFormat="1" applyFont="1" applyFill="1" applyBorder="1" applyAlignment="1" applyProtection="1">
      <alignment horizontal="center" vertical="center"/>
    </xf>
    <xf numFmtId="184" fontId="97" fillId="16" borderId="13" xfId="0" applyNumberFormat="1" applyFont="1" applyFill="1" applyBorder="1" applyAlignment="1" applyProtection="1">
      <alignment horizontal="right" vertical="center"/>
    </xf>
    <xf numFmtId="0" fontId="29" fillId="0" borderId="84" xfId="0" applyFont="1" applyFill="1" applyBorder="1" applyAlignment="1">
      <alignment vertical="center" wrapText="1"/>
    </xf>
    <xf numFmtId="0" fontId="29" fillId="0" borderId="85" xfId="0" applyFont="1" applyFill="1" applyBorder="1" applyAlignment="1">
      <alignment horizontal="left" vertical="center"/>
    </xf>
    <xf numFmtId="0" fontId="29" fillId="0" borderId="86" xfId="0" applyFont="1" applyFill="1" applyBorder="1" applyAlignment="1">
      <alignment horizontal="left" vertical="center"/>
    </xf>
    <xf numFmtId="0" fontId="29" fillId="0" borderId="87" xfId="0" applyFont="1" applyFill="1" applyBorder="1" applyAlignment="1">
      <alignment horizontal="left" vertical="center" wrapText="1"/>
    </xf>
    <xf numFmtId="0" fontId="99" fillId="0" borderId="88" xfId="0" applyFont="1" applyBorder="1" applyAlignment="1">
      <alignment horizontal="justify" vertical="center" wrapText="1"/>
    </xf>
    <xf numFmtId="0" fontId="99" fillId="0" borderId="88" xfId="0" applyFont="1" applyFill="1" applyBorder="1" applyAlignment="1">
      <alignment horizontal="justify" vertical="center" wrapText="1"/>
    </xf>
    <xf numFmtId="0" fontId="99" fillId="0" borderId="89" xfId="0" applyFont="1" applyFill="1" applyBorder="1" applyAlignment="1">
      <alignment horizontal="justify" vertical="center" wrapText="1"/>
    </xf>
    <xf numFmtId="0" fontId="99" fillId="0" borderId="1" xfId="0" applyFont="1" applyFill="1" applyBorder="1" applyAlignment="1">
      <alignment horizontal="justify" vertical="center" wrapText="1"/>
    </xf>
    <xf numFmtId="0" fontId="99" fillId="0" borderId="90" xfId="0" applyFont="1" applyFill="1" applyBorder="1" applyAlignment="1">
      <alignment horizontal="justify" vertical="center" wrapText="1"/>
    </xf>
    <xf numFmtId="0" fontId="99" fillId="0" borderId="86" xfId="0" applyFont="1" applyFill="1" applyBorder="1" applyAlignment="1">
      <alignment horizontal="justify" vertical="center" wrapText="1"/>
    </xf>
    <xf numFmtId="0" fontId="99" fillId="0" borderId="87" xfId="0" applyFont="1" applyFill="1" applyBorder="1" applyAlignment="1">
      <alignment horizontal="justify" vertical="center" wrapText="1"/>
    </xf>
    <xf numFmtId="0" fontId="22" fillId="0" borderId="0" xfId="0" applyFont="1" applyAlignment="1">
      <alignment horizontal="center" vertical="center"/>
    </xf>
    <xf numFmtId="0" fontId="22" fillId="0" borderId="0" xfId="0" applyFont="1" applyAlignment="1">
      <alignment vertical="center"/>
    </xf>
    <xf numFmtId="0" fontId="22" fillId="0" borderId="0" xfId="0" applyFont="1" applyAlignment="1">
      <alignment horizontal="justify" vertical="center"/>
    </xf>
    <xf numFmtId="0" fontId="100" fillId="0" borderId="1" xfId="0" applyNumberFormat="1" applyFont="1" applyBorder="1" applyAlignment="1">
      <alignment horizontal="center" vertical="center" wrapText="1"/>
    </xf>
    <xf numFmtId="0" fontId="101" fillId="0" borderId="1" xfId="0" applyNumberFormat="1" applyFont="1" applyBorder="1" applyAlignment="1">
      <alignment horizontal="justify" vertical="center" wrapText="1"/>
    </xf>
    <xf numFmtId="0" fontId="101" fillId="0" borderId="1" xfId="0" applyNumberFormat="1" applyFont="1" applyBorder="1" applyAlignment="1">
      <alignment horizontal="center" vertical="center" wrapText="1"/>
    </xf>
    <xf numFmtId="0" fontId="102" fillId="0" borderId="1" xfId="0" applyNumberFormat="1" applyFont="1" applyBorder="1" applyAlignment="1">
      <alignment horizontal="center" vertical="center" wrapText="1"/>
    </xf>
    <xf numFmtId="0" fontId="103" fillId="17" borderId="1" xfId="0" applyNumberFormat="1" applyFont="1" applyFill="1" applyBorder="1" applyAlignment="1">
      <alignment horizontal="center" vertical="center" wrapText="1"/>
    </xf>
    <xf numFmtId="0" fontId="102" fillId="17" borderId="1" xfId="0" applyNumberFormat="1" applyFont="1" applyFill="1" applyBorder="1" applyAlignment="1">
      <alignment horizontal="justify" vertical="center" wrapText="1"/>
    </xf>
    <xf numFmtId="0" fontId="102" fillId="17" borderId="1" xfId="0" applyNumberFormat="1" applyFont="1" applyFill="1" applyBorder="1" applyAlignment="1">
      <alignment horizontal="center" vertical="center" wrapText="1"/>
    </xf>
    <xf numFmtId="0" fontId="102" fillId="17" borderId="1" xfId="0" applyNumberFormat="1" applyFont="1" applyFill="1" applyBorder="1" applyAlignment="1">
      <alignment horizontal="left" vertical="center" wrapText="1"/>
    </xf>
    <xf numFmtId="0" fontId="102" fillId="0" borderId="1" xfId="0" applyNumberFormat="1" applyFont="1" applyBorder="1" applyAlignment="1">
      <alignment horizontal="justify" vertical="center" wrapText="1"/>
    </xf>
    <xf numFmtId="3" fontId="102" fillId="0" borderId="1" xfId="0" applyNumberFormat="1" applyFont="1" applyBorder="1" applyAlignment="1">
      <alignment horizontal="center" vertical="center" wrapText="1"/>
    </xf>
    <xf numFmtId="4" fontId="102" fillId="0" borderId="1" xfId="0" applyNumberFormat="1" applyFont="1" applyBorder="1" applyAlignment="1">
      <alignment horizontal="center" vertical="center" wrapText="1"/>
    </xf>
    <xf numFmtId="0" fontId="103" fillId="0" borderId="1" xfId="0" applyNumberFormat="1" applyFont="1" applyBorder="1" applyAlignment="1">
      <alignment horizontal="justify" vertical="top" wrapText="1"/>
    </xf>
    <xf numFmtId="0" fontId="102" fillId="0" borderId="1" xfId="0" applyNumberFormat="1" applyFont="1" applyBorder="1" applyAlignment="1">
      <alignment horizontal="justify" vertical="top" wrapText="1"/>
    </xf>
    <xf numFmtId="0" fontId="103" fillId="0" borderId="1" xfId="0" applyNumberFormat="1" applyFont="1" applyBorder="1" applyAlignment="1">
      <alignment horizontal="justify" vertical="center" wrapText="1"/>
    </xf>
    <xf numFmtId="0" fontId="102" fillId="18" borderId="1" xfId="0" applyNumberFormat="1" applyFont="1" applyFill="1" applyBorder="1" applyAlignment="1">
      <alignment horizontal="center" vertical="center" wrapText="1"/>
    </xf>
    <xf numFmtId="0" fontId="102" fillId="18" borderId="1" xfId="0" applyNumberFormat="1" applyFont="1" applyFill="1" applyBorder="1" applyAlignment="1">
      <alignment horizontal="justify" vertical="center" wrapText="1"/>
    </xf>
    <xf numFmtId="0" fontId="102" fillId="18" borderId="1" xfId="0" applyNumberFormat="1" applyFont="1" applyFill="1" applyBorder="1" applyAlignment="1">
      <alignment horizontal="left" vertical="center" wrapText="1"/>
    </xf>
    <xf numFmtId="4" fontId="102" fillId="18" borderId="1" xfId="0" applyNumberFormat="1" applyFont="1" applyFill="1" applyBorder="1" applyAlignment="1">
      <alignment horizontal="center" vertical="center" wrapText="1"/>
    </xf>
    <xf numFmtId="0" fontId="22" fillId="17" borderId="1" xfId="0" applyFont="1" applyFill="1" applyBorder="1" applyAlignment="1">
      <alignment horizontal="center" vertical="center"/>
    </xf>
    <xf numFmtId="0" fontId="102" fillId="0" borderId="13" xfId="0" applyNumberFormat="1" applyFont="1" applyBorder="1" applyAlignment="1">
      <alignment horizontal="justify" vertical="top" wrapText="1"/>
    </xf>
    <xf numFmtId="0" fontId="102" fillId="0" borderId="17" xfId="0" applyNumberFormat="1" applyFont="1" applyBorder="1" applyAlignment="1">
      <alignment horizontal="justify" vertical="top" wrapText="1"/>
    </xf>
    <xf numFmtId="0" fontId="102" fillId="0" borderId="13" xfId="0" applyNumberFormat="1" applyFont="1" applyBorder="1" applyAlignment="1">
      <alignment horizontal="center" vertical="center" wrapText="1"/>
    </xf>
    <xf numFmtId="3" fontId="102" fillId="0" borderId="13" xfId="0" applyNumberFormat="1" applyFont="1" applyBorder="1" applyAlignment="1">
      <alignment horizontal="center" vertical="center" wrapText="1"/>
    </xf>
    <xf numFmtId="0" fontId="102" fillId="0" borderId="14" xfId="0" applyNumberFormat="1" applyFont="1" applyBorder="1" applyAlignment="1">
      <alignment horizontal="center" vertical="center" wrapText="1"/>
    </xf>
    <xf numFmtId="3" fontId="102" fillId="0" borderId="14" xfId="0" applyNumberFormat="1" applyFont="1" applyBorder="1" applyAlignment="1">
      <alignment horizontal="center" vertical="center" wrapText="1"/>
    </xf>
    <xf numFmtId="0" fontId="22" fillId="0" borderId="1" xfId="0" applyFont="1" applyBorder="1" applyAlignment="1">
      <alignment horizontal="center" vertical="center"/>
    </xf>
    <xf numFmtId="0" fontId="102" fillId="0" borderId="14" xfId="0" applyNumberFormat="1" applyFont="1" applyBorder="1" applyAlignment="1">
      <alignment horizontal="justify" vertical="top" wrapText="1"/>
    </xf>
    <xf numFmtId="0" fontId="2" fillId="0" borderId="13" xfId="0" applyNumberFormat="1" applyFont="1" applyBorder="1" applyAlignment="1">
      <alignment horizontal="center" vertical="top" wrapText="1"/>
    </xf>
    <xf numFmtId="0" fontId="103" fillId="0" borderId="1" xfId="0" applyNumberFormat="1" applyFont="1" applyBorder="1" applyAlignment="1">
      <alignment horizontal="center" vertical="center" wrapText="1"/>
    </xf>
    <xf numFmtId="0" fontId="102" fillId="0" borderId="17" xfId="0" applyNumberFormat="1" applyFont="1" applyBorder="1" applyAlignment="1">
      <alignment horizontal="center" vertical="top" wrapText="1"/>
    </xf>
    <xf numFmtId="0" fontId="102" fillId="0" borderId="14" xfId="0" applyNumberFormat="1" applyFont="1" applyBorder="1" applyAlignment="1">
      <alignment horizontal="center" vertical="top" wrapText="1"/>
    </xf>
    <xf numFmtId="0" fontId="102" fillId="18" borderId="1" xfId="0" applyNumberFormat="1" applyFont="1" applyFill="1" applyBorder="1" applyAlignment="1">
      <alignment horizontal="left" vertical="top" wrapText="1"/>
    </xf>
    <xf numFmtId="0" fontId="102" fillId="0" borderId="1" xfId="0" applyNumberFormat="1" applyFont="1" applyFill="1" applyBorder="1" applyAlignment="1">
      <alignment horizontal="center" vertical="center" wrapText="1"/>
    </xf>
    <xf numFmtId="0" fontId="103" fillId="17" borderId="1" xfId="0" applyNumberFormat="1" applyFont="1" applyFill="1" applyBorder="1" applyAlignment="1">
      <alignment horizontal="justify" vertical="center" wrapText="1"/>
    </xf>
    <xf numFmtId="0" fontId="2" fillId="17" borderId="13" xfId="0" applyNumberFormat="1" applyFont="1" applyFill="1" applyBorder="1" applyAlignment="1">
      <alignment vertical="top" wrapText="1"/>
    </xf>
    <xf numFmtId="0" fontId="102" fillId="0" borderId="1" xfId="0" applyNumberFormat="1" applyFont="1" applyBorder="1" applyAlignment="1">
      <alignment horizontal="left" vertical="center" wrapText="1"/>
    </xf>
    <xf numFmtId="0" fontId="2" fillId="0" borderId="13" xfId="0" applyNumberFormat="1" applyFont="1" applyBorder="1" applyAlignment="1">
      <alignment horizontal="justify" vertical="top" wrapText="1"/>
    </xf>
    <xf numFmtId="0" fontId="2" fillId="0" borderId="17" xfId="0" applyNumberFormat="1" applyFont="1" applyBorder="1" applyAlignment="1">
      <alignment horizontal="justify" vertical="top" wrapText="1"/>
    </xf>
    <xf numFmtId="0" fontId="2" fillId="0" borderId="14" xfId="0" applyNumberFormat="1" applyFont="1" applyBorder="1" applyAlignment="1">
      <alignment horizontal="justify" vertical="top" wrapText="1"/>
    </xf>
    <xf numFmtId="0" fontId="103" fillId="18" borderId="1" xfId="0" applyNumberFormat="1" applyFont="1" applyFill="1" applyBorder="1" applyAlignment="1">
      <alignment horizontal="justify" vertical="center" wrapText="1"/>
    </xf>
    <xf numFmtId="0" fontId="104" fillId="5" borderId="1" xfId="0" applyNumberFormat="1" applyFont="1" applyFill="1" applyBorder="1" applyAlignment="1">
      <alignment horizontal="center" vertical="center" wrapText="1"/>
    </xf>
    <xf numFmtId="0" fontId="105" fillId="5" borderId="1" xfId="0" applyNumberFormat="1" applyFont="1" applyFill="1" applyBorder="1" applyAlignment="1">
      <alignment horizontal="justify" vertical="center" wrapText="1"/>
    </xf>
    <xf numFmtId="0" fontId="106" fillId="5" borderId="1" xfId="0" applyNumberFormat="1" applyFont="1" applyFill="1" applyBorder="1" applyAlignment="1">
      <alignment horizontal="center" vertical="center" wrapText="1"/>
    </xf>
    <xf numFmtId="0" fontId="106" fillId="5" borderId="1" xfId="0" applyNumberFormat="1" applyFont="1" applyFill="1" applyBorder="1" applyAlignment="1">
      <alignment horizontal="left" vertical="center" wrapText="1"/>
    </xf>
    <xf numFmtId="4" fontId="106" fillId="5" borderId="1" xfId="0" applyNumberFormat="1" applyFont="1" applyFill="1" applyBorder="1" applyAlignment="1">
      <alignment horizontal="center" vertical="center" wrapText="1"/>
    </xf>
    <xf numFmtId="0" fontId="9" fillId="0" borderId="0" xfId="0" applyFont="1" applyAlignment="1">
      <alignment vertical="center"/>
    </xf>
    <xf numFmtId="0" fontId="68" fillId="19" borderId="1"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24" fillId="0" borderId="1" xfId="0" applyFont="1" applyBorder="1" applyAlignment="1">
      <alignment horizontal="center" vertical="center"/>
    </xf>
    <xf numFmtId="0" fontId="24" fillId="0" borderId="14" xfId="0" applyFont="1" applyBorder="1" applyAlignment="1">
      <alignment horizontal="center" vertical="center"/>
    </xf>
    <xf numFmtId="0" fontId="9" fillId="0" borderId="1" xfId="0" applyFont="1" applyBorder="1" applyAlignment="1">
      <alignment horizontal="left" vertical="center" wrapText="1"/>
    </xf>
    <xf numFmtId="0" fontId="0" fillId="0" borderId="1" xfId="0" applyBorder="1" applyAlignment="1">
      <alignment horizontal="right" vertical="center" wrapText="1"/>
    </xf>
    <xf numFmtId="3" fontId="0" fillId="0" borderId="1" xfId="0" applyNumberFormat="1" applyBorder="1" applyAlignment="1">
      <alignment vertical="center" wrapText="1"/>
    </xf>
    <xf numFmtId="0" fontId="28" fillId="20" borderId="1" xfId="0" applyFont="1" applyFill="1"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3" fontId="0" fillId="19" borderId="1" xfId="0" applyNumberFormat="1" applyFill="1" applyBorder="1" applyAlignment="1">
      <alignment vertical="center" wrapText="1"/>
    </xf>
    <xf numFmtId="217" fontId="0" fillId="19" borderId="1" xfId="0" applyNumberFormat="1" applyFont="1" applyFill="1" applyBorder="1" applyAlignment="1">
      <alignment vertical="center" wrapText="1"/>
    </xf>
    <xf numFmtId="0" fontId="0" fillId="19" borderId="1" xfId="0" applyFont="1" applyFill="1" applyBorder="1" applyAlignment="1">
      <alignment vertical="center"/>
    </xf>
    <xf numFmtId="0" fontId="0" fillId="19" borderId="1" xfId="0" applyFill="1" applyBorder="1" applyAlignment="1">
      <alignment vertical="center"/>
    </xf>
    <xf numFmtId="3" fontId="0" fillId="0" borderId="1" xfId="0" applyNumberFormat="1" applyBorder="1" applyAlignment="1">
      <alignment horizontal="right" vertical="center"/>
    </xf>
    <xf numFmtId="0" fontId="9" fillId="0" borderId="1" xfId="0" applyFont="1" applyBorder="1" applyAlignment="1">
      <alignment vertical="center" wrapText="1"/>
    </xf>
    <xf numFmtId="0" fontId="107" fillId="21" borderId="1" xfId="0" applyFont="1" applyFill="1" applyBorder="1" applyAlignment="1">
      <alignment wrapText="1"/>
    </xf>
    <xf numFmtId="0" fontId="0" fillId="19" borderId="1" xfId="0" applyFill="1" applyBorder="1" applyAlignment="1">
      <alignment vertical="center" wrapText="1"/>
    </xf>
    <xf numFmtId="0" fontId="9" fillId="6" borderId="1" xfId="0" applyFont="1" applyFill="1" applyBorder="1" applyAlignment="1">
      <alignment horizontal="right" vertical="center" wrapText="1"/>
    </xf>
    <xf numFmtId="0" fontId="9" fillId="6" borderId="1" xfId="0" applyFont="1" applyFill="1" applyBorder="1" applyAlignment="1">
      <alignment horizontal="center" vertical="center" wrapText="1"/>
    </xf>
    <xf numFmtId="3" fontId="9" fillId="6" borderId="1" xfId="0" applyNumberFormat="1" applyFont="1" applyFill="1" applyBorder="1" applyAlignment="1">
      <alignment vertical="center" wrapText="1"/>
    </xf>
    <xf numFmtId="3" fontId="9" fillId="0" borderId="1" xfId="0" applyNumberFormat="1" applyFont="1" applyBorder="1" applyAlignment="1">
      <alignment horizontal="right" vertical="center"/>
    </xf>
    <xf numFmtId="182" fontId="0" fillId="0" borderId="1" xfId="0" applyNumberFormat="1" applyBorder="1" applyAlignment="1">
      <alignment horizontal="center" vertical="center"/>
    </xf>
    <xf numFmtId="218" fontId="0" fillId="19" borderId="1" xfId="0" applyNumberFormat="1" applyFont="1" applyFill="1" applyBorder="1" applyAlignment="1">
      <alignment vertical="center" wrapText="1"/>
    </xf>
    <xf numFmtId="0" fontId="108" fillId="22" borderId="1" xfId="0" applyFont="1" applyFill="1" applyBorder="1" applyAlignment="1">
      <alignment horizontal="right" vertical="center" wrapText="1"/>
    </xf>
    <xf numFmtId="0" fontId="108" fillId="22" borderId="1" xfId="0" applyFont="1" applyFill="1" applyBorder="1" applyAlignment="1">
      <alignment horizontal="center" vertical="center" wrapText="1"/>
    </xf>
    <xf numFmtId="3" fontId="20" fillId="19" borderId="1" xfId="0" applyNumberFormat="1" applyFont="1" applyFill="1" applyBorder="1" applyAlignment="1">
      <alignment horizontal="center" vertical="center" wrapText="1"/>
    </xf>
    <xf numFmtId="0" fontId="20" fillId="19" borderId="1" xfId="0" applyFont="1" applyFill="1" applyBorder="1" applyAlignment="1">
      <alignment vertical="center" wrapText="1"/>
    </xf>
    <xf numFmtId="3" fontId="20" fillId="0" borderId="1" xfId="0" applyNumberFormat="1" applyFont="1" applyBorder="1" applyAlignment="1">
      <alignment vertical="center" wrapText="1"/>
    </xf>
    <xf numFmtId="181" fontId="0" fillId="0" borderId="1" xfId="0" applyNumberFormat="1" applyBorder="1" applyAlignment="1">
      <alignment horizontal="center" vertical="center"/>
    </xf>
    <xf numFmtId="3" fontId="20" fillId="19" borderId="1" xfId="0" applyNumberFormat="1" applyFont="1" applyFill="1" applyBorder="1" applyAlignment="1">
      <alignment vertical="center" wrapText="1"/>
    </xf>
    <xf numFmtId="3" fontId="0" fillId="19" borderId="1" xfId="0" applyNumberFormat="1" applyFill="1" applyBorder="1" applyAlignment="1">
      <alignment horizontal="center" vertical="center" wrapText="1"/>
    </xf>
    <xf numFmtId="0" fontId="0" fillId="7" borderId="1" xfId="0" applyFill="1" applyBorder="1" applyAlignment="1">
      <alignment vertical="center" wrapText="1"/>
    </xf>
    <xf numFmtId="3" fontId="0" fillId="0" borderId="1" xfId="0" applyNumberFormat="1" applyBorder="1" applyAlignment="1">
      <alignment vertical="center"/>
    </xf>
    <xf numFmtId="3" fontId="0" fillId="0" borderId="1" xfId="0" applyNumberFormat="1" applyFill="1" applyBorder="1" applyAlignment="1">
      <alignment vertical="center" wrapText="1"/>
    </xf>
    <xf numFmtId="219" fontId="0" fillId="0" borderId="1" xfId="0" applyNumberFormat="1" applyBorder="1" applyAlignment="1">
      <alignment vertical="center"/>
    </xf>
    <xf numFmtId="182" fontId="0" fillId="7" borderId="1" xfId="0" applyNumberFormat="1" applyFill="1" applyBorder="1" applyAlignment="1">
      <alignment vertical="center" wrapText="1"/>
    </xf>
    <xf numFmtId="182" fontId="0" fillId="0" borderId="1" xfId="0" applyNumberFormat="1" applyBorder="1" applyAlignment="1">
      <alignment vertical="center"/>
    </xf>
    <xf numFmtId="0" fontId="0" fillId="0" borderId="1" xfId="0" applyFill="1" applyBorder="1" applyAlignment="1">
      <alignment horizontal="right" vertical="center" wrapText="1"/>
    </xf>
    <xf numFmtId="0" fontId="0" fillId="19" borderId="0" xfId="0" applyFill="1" applyAlignment="1">
      <alignment vertical="center"/>
    </xf>
    <xf numFmtId="0" fontId="109" fillId="22" borderId="1" xfId="0" applyFont="1" applyFill="1" applyBorder="1" applyAlignment="1">
      <alignment horizontal="left" vertical="center" wrapText="1"/>
    </xf>
    <xf numFmtId="0" fontId="9" fillId="0" borderId="1" xfId="0" applyFont="1" applyFill="1" applyBorder="1" applyAlignment="1">
      <alignment horizontal="right" vertical="center" wrapText="1"/>
    </xf>
    <xf numFmtId="3" fontId="9" fillId="0" borderId="1" xfId="0" applyNumberFormat="1" applyFont="1" applyFill="1" applyBorder="1" applyAlignment="1">
      <alignment vertical="center" wrapText="1"/>
    </xf>
    <xf numFmtId="0" fontId="28" fillId="0" borderId="1" xfId="0" applyFont="1" applyFill="1" applyBorder="1" applyAlignment="1">
      <alignment horizontal="left" vertical="center" wrapText="1"/>
    </xf>
    <xf numFmtId="0" fontId="110" fillId="0" borderId="1" xfId="0" applyFont="1" applyBorder="1" applyAlignment="1">
      <alignment horizontal="left" vertical="center"/>
    </xf>
    <xf numFmtId="3" fontId="0" fillId="19" borderId="1" xfId="0" applyNumberFormat="1" applyFont="1" applyFill="1" applyBorder="1" applyAlignment="1">
      <alignment vertical="center" wrapText="1"/>
    </xf>
    <xf numFmtId="3" fontId="0" fillId="0" borderId="1" xfId="0" applyNumberFormat="1" applyFont="1" applyFill="1" applyBorder="1" applyAlignment="1">
      <alignment vertical="center" wrapText="1"/>
    </xf>
    <xf numFmtId="0" fontId="110" fillId="0" borderId="1" xfId="0" applyFont="1" applyBorder="1" applyAlignment="1">
      <alignment horizontal="right" vertical="center"/>
    </xf>
    <xf numFmtId="0" fontId="111" fillId="0" borderId="91" xfId="0" applyFont="1" applyBorder="1" applyAlignment="1">
      <alignment horizontal="center" vertical="center"/>
    </xf>
    <xf numFmtId="0" fontId="111" fillId="0" borderId="36" xfId="0" applyFont="1" applyBorder="1" applyAlignment="1">
      <alignment horizontal="center" vertical="center"/>
    </xf>
    <xf numFmtId="0" fontId="110" fillId="0" borderId="36" xfId="0" applyFont="1" applyBorder="1" applyAlignment="1">
      <alignment horizontal="right" vertical="center"/>
    </xf>
    <xf numFmtId="0" fontId="9" fillId="0" borderId="14" xfId="0" applyFont="1" applyFill="1" applyBorder="1" applyAlignment="1">
      <alignment horizontal="center" vertical="center" wrapText="1"/>
    </xf>
    <xf numFmtId="3" fontId="9" fillId="0" borderId="14" xfId="0" applyNumberFormat="1" applyFont="1" applyFill="1" applyBorder="1" applyAlignment="1">
      <alignment vertical="center" wrapText="1"/>
    </xf>
    <xf numFmtId="0" fontId="0" fillId="0" borderId="14" xfId="0" applyBorder="1" applyAlignment="1">
      <alignment vertical="center"/>
    </xf>
    <xf numFmtId="0" fontId="9" fillId="19" borderId="1" xfId="0" applyFont="1" applyFill="1" applyBorder="1" applyAlignment="1">
      <alignment horizontal="center" vertical="center" wrapText="1"/>
    </xf>
    <xf numFmtId="0" fontId="110" fillId="0" borderId="0" xfId="0" applyFont="1" applyAlignment="1">
      <alignment horizontal="left" vertical="center"/>
    </xf>
    <xf numFmtId="0" fontId="111" fillId="0" borderId="0" xfId="0" applyFont="1" applyAlignment="1">
      <alignment horizontal="center" vertical="center"/>
    </xf>
    <xf numFmtId="0" fontId="0" fillId="0" borderId="1" xfId="0" applyFont="1" applyFill="1" applyBorder="1" applyAlignment="1">
      <alignment horizontal="center" vertical="center" wrapText="1"/>
    </xf>
    <xf numFmtId="0" fontId="0" fillId="0" borderId="0" xfId="0" applyAlignment="1">
      <alignment horizontal="center" vertical="center" wrapText="1"/>
    </xf>
    <xf numFmtId="0" fontId="28" fillId="23" borderId="1" xfId="0" applyFont="1" applyFill="1" applyBorder="1" applyAlignment="1">
      <alignment horizontal="right" vertical="center" wrapText="1"/>
    </xf>
    <xf numFmtId="0" fontId="9" fillId="0" borderId="1" xfId="0" applyFont="1" applyBorder="1" applyAlignment="1">
      <alignment horizontal="right" vertical="center" wrapText="1"/>
    </xf>
    <xf numFmtId="182" fontId="51" fillId="0" borderId="1" xfId="0" applyNumberFormat="1" applyFont="1" applyBorder="1" applyAlignment="1">
      <alignment horizontal="center" vertical="center" wrapText="1"/>
    </xf>
    <xf numFmtId="3" fontId="9" fillId="0" borderId="1" xfId="0" applyNumberFormat="1" applyFont="1" applyBorder="1" applyAlignment="1">
      <alignment vertical="center" wrapText="1"/>
    </xf>
    <xf numFmtId="0" fontId="9" fillId="0" borderId="1" xfId="0" applyFont="1" applyBorder="1" applyAlignment="1">
      <alignment horizontal="right" vertical="center"/>
    </xf>
    <xf numFmtId="182" fontId="0" fillId="0" borderId="0" xfId="0" applyNumberFormat="1" applyAlignment="1">
      <alignment vertical="center"/>
    </xf>
    <xf numFmtId="0" fontId="0" fillId="0" borderId="0" xfId="0" applyAlignment="1">
      <alignment horizontal="justify"/>
    </xf>
    <xf numFmtId="0" fontId="0" fillId="0" borderId="0" xfId="0" applyAlignment="1">
      <alignment horizontal="left" vertical="center"/>
    </xf>
    <xf numFmtId="3" fontId="0" fillId="0" borderId="0" xfId="0" applyNumberFormat="1" applyAlignment="1">
      <alignment vertical="center"/>
    </xf>
    <xf numFmtId="0" fontId="112" fillId="0" borderId="1" xfId="0" applyFont="1" applyBorder="1" applyAlignment="1">
      <alignment horizontal="center" wrapText="1"/>
    </xf>
    <xf numFmtId="0" fontId="113" fillId="21" borderId="1" xfId="0" applyFont="1" applyFill="1" applyBorder="1" applyAlignment="1">
      <alignment horizontal="center" wrapText="1"/>
    </xf>
    <xf numFmtId="0" fontId="113" fillId="21" borderId="1" xfId="0" applyFont="1" applyFill="1" applyBorder="1" applyAlignment="1">
      <alignment horizontal="left" vertical="center" wrapText="1"/>
    </xf>
    <xf numFmtId="3" fontId="113" fillId="21" borderId="1" xfId="0" applyNumberFormat="1" applyFont="1" applyFill="1" applyBorder="1" applyAlignment="1">
      <alignment horizontal="center" wrapText="1"/>
    </xf>
    <xf numFmtId="0" fontId="114" fillId="21" borderId="1" xfId="0" applyFont="1" applyFill="1" applyBorder="1" applyAlignment="1">
      <alignment horizontal="center" wrapText="1"/>
    </xf>
    <xf numFmtId="0" fontId="113" fillId="21" borderId="1" xfId="0" applyFont="1" applyFill="1" applyBorder="1" applyAlignment="1">
      <alignment wrapText="1"/>
    </xf>
    <xf numFmtId="0" fontId="114" fillId="21" borderId="1" xfId="0" applyFont="1" applyFill="1" applyBorder="1" applyAlignment="1">
      <alignment vertical="center" wrapText="1"/>
    </xf>
    <xf numFmtId="220" fontId="114" fillId="21" borderId="1" xfId="0" applyNumberFormat="1" applyFont="1" applyFill="1" applyBorder="1" applyAlignment="1">
      <alignment wrapText="1"/>
    </xf>
    <xf numFmtId="3" fontId="114" fillId="21" borderId="1" xfId="0" applyNumberFormat="1" applyFont="1" applyFill="1" applyBorder="1" applyAlignment="1">
      <alignment wrapText="1"/>
    </xf>
    <xf numFmtId="0" fontId="114" fillId="21" borderId="1" xfId="0" applyFont="1" applyFill="1" applyBorder="1" applyAlignment="1">
      <alignment wrapText="1"/>
    </xf>
    <xf numFmtId="0" fontId="114" fillId="21" borderId="1" xfId="0" applyFont="1" applyFill="1" applyBorder="1" applyAlignment="1">
      <alignment horizontal="left" vertical="center" wrapText="1"/>
    </xf>
    <xf numFmtId="221" fontId="114" fillId="21" borderId="1" xfId="0" applyNumberFormat="1" applyFont="1" applyFill="1" applyBorder="1" applyAlignment="1">
      <alignment wrapText="1"/>
    </xf>
    <xf numFmtId="222" fontId="114" fillId="21" borderId="1" xfId="0" applyNumberFormat="1" applyFont="1" applyFill="1" applyBorder="1" applyAlignment="1">
      <alignment wrapText="1"/>
    </xf>
    <xf numFmtId="223" fontId="114" fillId="21" borderId="1" xfId="0" applyNumberFormat="1" applyFont="1" applyFill="1" applyBorder="1" applyAlignment="1">
      <alignment horizontal="left" vertical="center" wrapText="1"/>
    </xf>
    <xf numFmtId="224" fontId="114" fillId="21" borderId="1" xfId="0" applyNumberFormat="1" applyFont="1" applyFill="1" applyBorder="1" applyAlignment="1">
      <alignment wrapText="1"/>
    </xf>
    <xf numFmtId="225" fontId="114" fillId="21" borderId="1" xfId="0" applyNumberFormat="1" applyFont="1" applyFill="1" applyBorder="1" applyAlignment="1">
      <alignment horizontal="left" vertical="center" wrapText="1"/>
    </xf>
    <xf numFmtId="226" fontId="114" fillId="21" borderId="1" xfId="0" applyNumberFormat="1" applyFont="1" applyFill="1" applyBorder="1" applyAlignment="1">
      <alignment horizontal="left" vertical="center" wrapText="1"/>
    </xf>
    <xf numFmtId="227" fontId="114" fillId="21" borderId="1" xfId="0" applyNumberFormat="1" applyFont="1" applyFill="1" applyBorder="1" applyAlignment="1">
      <alignment wrapText="1"/>
    </xf>
    <xf numFmtId="228" fontId="114" fillId="21" borderId="1" xfId="0" applyNumberFormat="1" applyFont="1" applyFill="1" applyBorder="1" applyAlignment="1">
      <alignment wrapText="1"/>
    </xf>
    <xf numFmtId="3" fontId="113" fillId="21" borderId="1" xfId="0" applyNumberFormat="1" applyFont="1" applyFill="1" applyBorder="1" applyAlignment="1">
      <alignment wrapText="1"/>
    </xf>
    <xf numFmtId="0" fontId="115" fillId="0" borderId="1" xfId="0" applyFont="1" applyBorder="1" applyAlignment="1">
      <alignment horizontal="center" wrapText="1"/>
    </xf>
    <xf numFmtId="0" fontId="110" fillId="0" borderId="92" xfId="0" applyFont="1" applyBorder="1" applyAlignment="1">
      <alignment horizontal="center" vertical="center"/>
    </xf>
    <xf numFmtId="0" fontId="110" fillId="0" borderId="93" xfId="0" applyFont="1" applyBorder="1" applyAlignment="1">
      <alignment horizontal="center" vertical="center"/>
    </xf>
    <xf numFmtId="0" fontId="110" fillId="0" borderId="93" xfId="0" applyFont="1" applyBorder="1" applyAlignment="1">
      <alignment horizontal="center" vertical="center" wrapText="1"/>
    </xf>
    <xf numFmtId="0" fontId="110" fillId="0" borderId="41" xfId="0" applyFont="1" applyBorder="1" applyAlignment="1">
      <alignment horizontal="center" vertical="center"/>
    </xf>
    <xf numFmtId="0" fontId="110" fillId="0" borderId="94" xfId="0" applyFont="1" applyBorder="1" applyAlignment="1">
      <alignment horizontal="center" vertical="center"/>
    </xf>
    <xf numFmtId="0" fontId="110" fillId="0" borderId="37" xfId="0" applyFont="1" applyBorder="1" applyAlignment="1">
      <alignment horizontal="center" vertical="center"/>
    </xf>
    <xf numFmtId="0" fontId="110" fillId="0" borderId="37" xfId="0" applyFont="1" applyBorder="1" applyAlignment="1">
      <alignment horizontal="center" vertical="center" wrapText="1"/>
    </xf>
    <xf numFmtId="0" fontId="110" fillId="0" borderId="94" xfId="0" applyFont="1" applyBorder="1" applyAlignment="1">
      <alignment horizontal="center" vertical="center" wrapText="1"/>
    </xf>
    <xf numFmtId="0" fontId="110" fillId="0" borderId="36" xfId="0" applyFont="1" applyBorder="1" applyAlignment="1">
      <alignment horizontal="center" vertical="center"/>
    </xf>
    <xf numFmtId="0" fontId="111" fillId="19" borderId="36" xfId="0" applyFont="1" applyFill="1" applyBorder="1" applyAlignment="1">
      <alignment horizontal="left" vertical="center"/>
    </xf>
    <xf numFmtId="0" fontId="110" fillId="19" borderId="37" xfId="0" applyFont="1" applyFill="1" applyBorder="1" applyAlignment="1">
      <alignment horizontal="left" vertical="center"/>
    </xf>
    <xf numFmtId="0" fontId="110" fillId="19" borderId="37" xfId="0" applyFont="1" applyFill="1" applyBorder="1" applyAlignment="1">
      <alignment horizontal="center" vertical="center"/>
    </xf>
    <xf numFmtId="0" fontId="111" fillId="19" borderId="37" xfId="0" applyFont="1" applyFill="1" applyBorder="1" applyAlignment="1">
      <alignment horizontal="center" vertical="center"/>
    </xf>
    <xf numFmtId="10" fontId="111" fillId="19" borderId="37" xfId="3" applyNumberFormat="1" applyFont="1" applyFill="1" applyBorder="1" applyAlignment="1">
      <alignment horizontal="center" vertical="center"/>
    </xf>
    <xf numFmtId="0" fontId="110" fillId="0" borderId="37" xfId="0" applyFont="1" applyBorder="1" applyAlignment="1">
      <alignment horizontal="left" vertical="center"/>
    </xf>
    <xf numFmtId="0" fontId="111" fillId="0" borderId="37" xfId="0" applyFont="1" applyBorder="1" applyAlignment="1">
      <alignment horizontal="center"/>
    </xf>
    <xf numFmtId="0" fontId="111" fillId="0" borderId="36" xfId="0" applyFont="1" applyBorder="1" applyAlignment="1">
      <alignment horizontal="right" vertical="center"/>
    </xf>
    <xf numFmtId="0" fontId="111" fillId="7" borderId="37" xfId="0" applyFont="1" applyFill="1" applyBorder="1" applyAlignment="1">
      <alignment horizontal="center" vertical="center"/>
    </xf>
    <xf numFmtId="181" fontId="111" fillId="0" borderId="37" xfId="0" applyNumberFormat="1" applyFont="1" applyBorder="1" applyAlignment="1">
      <alignment horizontal="center" vertical="center"/>
    </xf>
    <xf numFmtId="0" fontId="111" fillId="0" borderId="37" xfId="0" applyFont="1" applyBorder="1" applyAlignment="1">
      <alignment horizontal="center" vertical="center"/>
    </xf>
    <xf numFmtId="0" fontId="111" fillId="0" borderId="37" xfId="0" applyFont="1" applyBorder="1" applyAlignment="1">
      <alignment horizontal="center" wrapText="1"/>
    </xf>
    <xf numFmtId="0" fontId="111" fillId="19" borderId="37" xfId="0" applyFont="1" applyFill="1" applyBorder="1" applyAlignment="1">
      <alignment horizontal="center"/>
    </xf>
    <xf numFmtId="181" fontId="111" fillId="19" borderId="37" xfId="0" applyNumberFormat="1" applyFont="1" applyFill="1" applyBorder="1" applyAlignment="1">
      <alignment horizontal="center"/>
    </xf>
    <xf numFmtId="181" fontId="111" fillId="0" borderId="37" xfId="0" applyNumberFormat="1" applyFont="1" applyBorder="1" applyAlignment="1">
      <alignment horizontal="center"/>
    </xf>
    <xf numFmtId="10" fontId="110" fillId="7" borderId="37" xfId="0" applyNumberFormat="1" applyFont="1" applyFill="1" applyBorder="1" applyAlignment="1">
      <alignment horizontal="center" vertical="center"/>
    </xf>
    <xf numFmtId="181" fontId="111" fillId="0" borderId="37" xfId="0" applyNumberFormat="1" applyFont="1" applyFill="1" applyBorder="1" applyAlignment="1">
      <alignment horizontal="center" vertical="center"/>
    </xf>
    <xf numFmtId="0" fontId="110" fillId="7" borderId="37" xfId="0" applyFont="1" applyFill="1" applyBorder="1" applyAlignment="1">
      <alignment horizontal="center" vertical="center"/>
    </xf>
    <xf numFmtId="10" fontId="110" fillId="19" borderId="37" xfId="0" applyNumberFormat="1" applyFont="1" applyFill="1" applyBorder="1" applyAlignment="1">
      <alignment horizontal="center" vertical="center"/>
    </xf>
    <xf numFmtId="181" fontId="111" fillId="19" borderId="37" xfId="0" applyNumberFormat="1" applyFont="1" applyFill="1" applyBorder="1" applyAlignment="1">
      <alignment horizontal="center" vertical="center"/>
    </xf>
    <xf numFmtId="0" fontId="111" fillId="0" borderId="36" xfId="0" applyFont="1" applyBorder="1" applyAlignment="1">
      <alignment horizontal="left" vertical="center"/>
    </xf>
    <xf numFmtId="0" fontId="111" fillId="17" borderId="36" xfId="0" applyFont="1" applyFill="1" applyBorder="1" applyAlignment="1">
      <alignment horizontal="left" vertical="center"/>
    </xf>
    <xf numFmtId="0" fontId="110" fillId="17" borderId="37" xfId="0" applyFont="1" applyFill="1" applyBorder="1" applyAlignment="1">
      <alignment horizontal="left" vertical="center"/>
    </xf>
    <xf numFmtId="0" fontId="110" fillId="17" borderId="37" xfId="0" applyFont="1" applyFill="1" applyBorder="1" applyAlignment="1">
      <alignment horizontal="center" vertical="center"/>
    </xf>
    <xf numFmtId="0" fontId="111" fillId="17" borderId="37" xfId="0" applyFont="1" applyFill="1" applyBorder="1" applyAlignment="1">
      <alignment horizontal="center" vertical="center"/>
    </xf>
    <xf numFmtId="181" fontId="111" fillId="17" borderId="37" xfId="0" applyNumberFormat="1" applyFont="1" applyFill="1" applyBorder="1" applyAlignment="1">
      <alignment horizontal="center" vertical="center"/>
    </xf>
    <xf numFmtId="0" fontId="111" fillId="17" borderId="37" xfId="0" applyFont="1" applyFill="1" applyBorder="1" applyAlignment="1">
      <alignment horizontal="center"/>
    </xf>
    <xf numFmtId="10" fontId="111" fillId="0" borderId="37" xfId="3" applyNumberFormat="1" applyFont="1" applyFill="1" applyBorder="1" applyAlignment="1">
      <alignment horizontal="center" vertical="center"/>
    </xf>
    <xf numFmtId="0" fontId="111" fillId="0" borderId="36" xfId="0" applyFont="1" applyBorder="1" applyAlignment="1">
      <alignment horizontal="left"/>
    </xf>
    <xf numFmtId="9" fontId="111" fillId="0" borderId="37" xfId="3" applyFont="1" applyBorder="1" applyAlignment="1">
      <alignment horizontal="center" vertical="center"/>
    </xf>
    <xf numFmtId="0" fontId="0" fillId="0" borderId="37" xfId="0" applyBorder="1"/>
    <xf numFmtId="0" fontId="116" fillId="0" borderId="0" xfId="0" applyFont="1" applyAlignment="1">
      <alignment horizontal="center"/>
    </xf>
    <xf numFmtId="0" fontId="116" fillId="0" borderId="0" xfId="0" applyFont="1" applyAlignment="1">
      <alignment horizontal="center" vertical="center"/>
    </xf>
    <xf numFmtId="0" fontId="117" fillId="24" borderId="91" xfId="0" applyFont="1" applyFill="1" applyBorder="1" applyAlignment="1">
      <alignment horizontal="center" vertical="center" wrapText="1"/>
    </xf>
    <xf numFmtId="0" fontId="117" fillId="24" borderId="95" xfId="0" applyFont="1" applyFill="1" applyBorder="1" applyAlignment="1">
      <alignment horizontal="center" vertical="center" wrapText="1"/>
    </xf>
    <xf numFmtId="0" fontId="117" fillId="24" borderId="93" xfId="0" applyFont="1" applyFill="1" applyBorder="1" applyAlignment="1">
      <alignment horizontal="center" vertical="center" wrapText="1"/>
    </xf>
    <xf numFmtId="0" fontId="118" fillId="0" borderId="36" xfId="0" applyFont="1" applyBorder="1" applyAlignment="1">
      <alignment horizontal="center" vertical="center"/>
    </xf>
    <xf numFmtId="0" fontId="118" fillId="0" borderId="37" xfId="0" applyFont="1" applyBorder="1" applyAlignment="1">
      <alignment horizontal="left" vertical="center" wrapText="1"/>
    </xf>
    <xf numFmtId="0" fontId="118" fillId="0" borderId="37" xfId="0" applyFont="1" applyBorder="1" applyAlignment="1">
      <alignment horizontal="justify" vertical="center" wrapText="1"/>
    </xf>
    <xf numFmtId="0" fontId="118" fillId="0" borderId="93" xfId="0" applyFont="1" applyBorder="1" applyAlignment="1">
      <alignment horizontal="left" vertical="center" wrapText="1"/>
    </xf>
    <xf numFmtId="0" fontId="119" fillId="0" borderId="36" xfId="0" applyFont="1" applyBorder="1" applyAlignment="1">
      <alignment horizontal="center" vertical="center"/>
    </xf>
    <xf numFmtId="0" fontId="119" fillId="0" borderId="37" xfId="0" applyFont="1" applyBorder="1" applyAlignment="1">
      <alignment horizontal="justify" vertical="center" wrapText="1"/>
    </xf>
    <xf numFmtId="0" fontId="119" fillId="0" borderId="37" xfId="0" applyFont="1" applyBorder="1" applyAlignment="1">
      <alignment horizontal="left" vertical="center" wrapText="1"/>
    </xf>
    <xf numFmtId="0" fontId="120" fillId="0" borderId="37" xfId="0" applyFont="1" applyBorder="1" applyAlignment="1">
      <alignment horizontal="justify" vertical="center" wrapText="1"/>
    </xf>
    <xf numFmtId="0" fontId="121" fillId="0" borderId="37" xfId="0" applyFont="1" applyBorder="1" applyAlignment="1">
      <alignment horizontal="left" vertical="center" wrapText="1"/>
    </xf>
    <xf numFmtId="0" fontId="122" fillId="0" borderId="37" xfId="0" applyFont="1" applyBorder="1" applyAlignment="1">
      <alignment horizontal="left" vertical="center" wrapText="1"/>
    </xf>
    <xf numFmtId="0" fontId="122" fillId="0" borderId="37" xfId="0" applyFont="1" applyBorder="1" applyAlignment="1">
      <alignment horizontal="left" wrapText="1"/>
    </xf>
    <xf numFmtId="0" fontId="119" fillId="0" borderId="37" xfId="0" applyFont="1" applyBorder="1" applyAlignment="1">
      <alignment horizontal="justify" wrapText="1"/>
    </xf>
    <xf numFmtId="0" fontId="123" fillId="0" borderId="37" xfId="0" applyFont="1" applyBorder="1" applyAlignment="1">
      <alignment horizontal="left" vertical="center" wrapText="1"/>
    </xf>
    <xf numFmtId="0" fontId="119" fillId="0" borderId="37" xfId="0" applyFont="1" applyBorder="1" applyAlignment="1">
      <alignment horizontal="left" vertical="center"/>
    </xf>
    <xf numFmtId="0" fontId="124" fillId="0" borderId="0" xfId="0" applyFont="1" applyAlignment="1">
      <alignment horizontal="justify"/>
    </xf>
    <xf numFmtId="0" fontId="56" fillId="0" borderId="0" xfId="0" applyFont="1" applyFill="1" applyAlignment="1">
      <alignment vertical="center"/>
    </xf>
    <xf numFmtId="0" fontId="56" fillId="0" borderId="0" xfId="0" applyFont="1" applyFill="1" applyAlignment="1">
      <alignment horizontal="center" vertical="center"/>
    </xf>
    <xf numFmtId="0" fontId="125" fillId="0" borderId="2" xfId="0" applyFont="1" applyFill="1" applyBorder="1" applyAlignment="1">
      <alignment horizontal="center" vertical="center"/>
    </xf>
    <xf numFmtId="0" fontId="125" fillId="0" borderId="3" xfId="0" applyFont="1" applyFill="1" applyBorder="1" applyAlignment="1">
      <alignment horizontal="center" vertical="center"/>
    </xf>
    <xf numFmtId="0" fontId="125" fillId="0" borderId="4" xfId="0" applyFont="1" applyFill="1" applyBorder="1" applyAlignment="1">
      <alignment horizontal="center" vertical="center"/>
    </xf>
    <xf numFmtId="0" fontId="125" fillId="0" borderId="1" xfId="0" applyFont="1" applyFill="1" applyBorder="1" applyAlignment="1">
      <alignment vertical="center"/>
    </xf>
    <xf numFmtId="0" fontId="56" fillId="0" borderId="1" xfId="0" applyFont="1" applyFill="1" applyBorder="1" applyAlignment="1">
      <alignment horizontal="center" vertical="center"/>
    </xf>
    <xf numFmtId="0" fontId="126" fillId="25" borderId="1" xfId="0" applyFont="1" applyFill="1" applyBorder="1" applyAlignment="1">
      <alignment vertical="center"/>
    </xf>
    <xf numFmtId="0" fontId="56" fillId="25" borderId="1" xfId="0" applyFont="1" applyFill="1" applyBorder="1" applyAlignment="1">
      <alignment vertical="center"/>
    </xf>
    <xf numFmtId="0" fontId="56" fillId="25" borderId="1" xfId="0" applyFont="1" applyFill="1" applyBorder="1" applyAlignment="1">
      <alignment horizontal="center" vertical="center"/>
    </xf>
    <xf numFmtId="182" fontId="126" fillId="25" borderId="1" xfId="0" applyNumberFormat="1" applyFont="1" applyFill="1" applyBorder="1" applyAlignment="1">
      <alignment horizontal="center" vertical="center"/>
    </xf>
    <xf numFmtId="182" fontId="56" fillId="0" borderId="0" xfId="0" applyNumberFormat="1" applyFont="1" applyFill="1" applyAlignment="1">
      <alignment vertical="center"/>
    </xf>
    <xf numFmtId="0" fontId="56" fillId="7" borderId="1" xfId="0" applyFont="1" applyFill="1" applyBorder="1" applyAlignment="1">
      <alignment vertical="center"/>
    </xf>
    <xf numFmtId="0" fontId="56" fillId="0" borderId="1" xfId="0" applyFont="1" applyFill="1" applyBorder="1" applyAlignment="1">
      <alignment vertical="center"/>
    </xf>
    <xf numFmtId="182" fontId="56" fillId="0" borderId="1" xfId="0" applyNumberFormat="1" applyFont="1" applyFill="1" applyBorder="1" applyAlignment="1">
      <alignment vertical="center"/>
    </xf>
    <xf numFmtId="182" fontId="56" fillId="25" borderId="1" xfId="0" applyNumberFormat="1" applyFont="1" applyFill="1" applyBorder="1" applyAlignment="1">
      <alignment vertical="center"/>
    </xf>
    <xf numFmtId="182" fontId="126" fillId="25" borderId="1" xfId="0" applyNumberFormat="1" applyFont="1" applyFill="1" applyBorder="1" applyAlignment="1">
      <alignment vertical="center"/>
    </xf>
    <xf numFmtId="0" fontId="126" fillId="25" borderId="1" xfId="0" applyFont="1" applyFill="1" applyBorder="1" applyAlignment="1">
      <alignment horizontal="center" vertical="center"/>
    </xf>
    <xf numFmtId="0" fontId="127" fillId="7" borderId="1" xfId="0" applyFont="1" applyFill="1" applyBorder="1" applyAlignment="1">
      <alignment vertical="center"/>
    </xf>
    <xf numFmtId="0" fontId="126" fillId="23" borderId="1" xfId="0" applyFont="1" applyFill="1" applyBorder="1" applyAlignment="1">
      <alignment vertical="center"/>
    </xf>
    <xf numFmtId="182" fontId="126" fillId="23" borderId="1" xfId="0" applyNumberFormat="1" applyFont="1" applyFill="1" applyBorder="1" applyAlignment="1">
      <alignment vertical="center"/>
    </xf>
    <xf numFmtId="0" fontId="126" fillId="23" borderId="1" xfId="0" applyFont="1" applyFill="1" applyBorder="1" applyAlignment="1">
      <alignment horizontal="center" vertical="center"/>
    </xf>
    <xf numFmtId="182" fontId="126" fillId="23" borderId="1" xfId="0" applyNumberFormat="1" applyFont="1" applyFill="1" applyBorder="1" applyAlignment="1">
      <alignment horizontal="center" vertical="center"/>
    </xf>
    <xf numFmtId="0" fontId="89" fillId="0" borderId="1" xfId="0" applyFont="1" applyBorder="1" applyAlignment="1" quotePrefix="1">
      <alignment vertical="center"/>
    </xf>
  </cellXfs>
  <cellStyles count="50">
    <cellStyle name="常規" xfId="0" builtinId="0"/>
    <cellStyle name="千位分隔" xfId="1" builtinId="3"/>
    <cellStyle name="貨幣" xfId="2" builtinId="4"/>
    <cellStyle name="百分比" xfId="3" builtinId="5"/>
    <cellStyle name="千位分隔[0]" xfId="4" builtinId="6"/>
    <cellStyle name="貨幣[0]" xfId="5" builtinId="7"/>
    <cellStyle name="超鏈接" xfId="6" builtinId="8"/>
    <cellStyle name="已訪問的超鏈接" xfId="7" builtinId="9"/>
    <cellStyle name="註釋" xfId="8" builtinId="10"/>
    <cellStyle name="警告文字" xfId="9" builtinId="11"/>
    <cellStyle name="標題" xfId="10" builtinId="15"/>
    <cellStyle name="解釋性文本" xfId="11" builtinId="53"/>
    <cellStyle name="標題 1" xfId="12" builtinId="16"/>
    <cellStyle name="標題 2" xfId="13" builtinId="17"/>
    <cellStyle name="標題 3" xfId="14" builtinId="18"/>
    <cellStyle name="標題 4" xfId="15" builtinId="19"/>
    <cellStyle name="輸入" xfId="16" builtinId="20"/>
    <cellStyle name="輸出" xfId="17" builtinId="21"/>
    <cellStyle name="計算" xfId="18" builtinId="22"/>
    <cellStyle name="檢查儲存格" xfId="19" builtinId="23"/>
    <cellStyle name="鏈接儲存格" xfId="20" builtinId="24"/>
    <cellStyle name="匯總" xfId="21" builtinId="25"/>
    <cellStyle name="好" xfId="22" builtinId="26"/>
    <cellStyle name="差" xfId="23" builtinId="27"/>
    <cellStyle name="適中" xfId="24" builtinId="28"/>
    <cellStyle name="強調文字顏色 1" xfId="25" builtinId="29"/>
    <cellStyle name="20% - 強調文字顏色 1" xfId="26" builtinId="30"/>
    <cellStyle name="40% - 強調文字顏色 1" xfId="27" builtinId="31"/>
    <cellStyle name="60% - 強調文字顏色 1" xfId="28" builtinId="32"/>
    <cellStyle name="強調文字顏色 2" xfId="29" builtinId="33"/>
    <cellStyle name="20% - 強調文字顏色 2" xfId="30" builtinId="34"/>
    <cellStyle name="40% - 強調文字顏色 2" xfId="31" builtinId="35"/>
    <cellStyle name="60% - 強調文字顏色 2" xfId="32" builtinId="36"/>
    <cellStyle name="強調文字顏色 3" xfId="33" builtinId="37"/>
    <cellStyle name="20% - 強調文字顏色 3" xfId="34" builtinId="38"/>
    <cellStyle name="40% - 強調文字顏色 3" xfId="35" builtinId="39"/>
    <cellStyle name="60% - 強調文字顏色 3" xfId="36" builtinId="40"/>
    <cellStyle name="強調文字顏色 4" xfId="37" builtinId="41"/>
    <cellStyle name="20% - 強調文字顏色 4" xfId="38" builtinId="42"/>
    <cellStyle name="40% - 強調文字顏色 4" xfId="39" builtinId="43"/>
    <cellStyle name="60% - 強調文字顏色 4" xfId="40" builtinId="44"/>
    <cellStyle name="強調文字顏色 5" xfId="41" builtinId="45"/>
    <cellStyle name="20% - 強調文字顏色 5" xfId="42" builtinId="46"/>
    <cellStyle name="40% - 強調文字顏色 5" xfId="43" builtinId="47"/>
    <cellStyle name="60% - 強調文字顏色 5" xfId="44" builtinId="48"/>
    <cellStyle name="強調文字顏色 6" xfId="45" builtinId="49"/>
    <cellStyle name="20% - 強調文字顏色 6" xfId="46" builtinId="50"/>
    <cellStyle name="40% - 強調文字顏色 6" xfId="47" builtinId="51"/>
    <cellStyle name="60% - 強調文字顏色 6" xfId="48" builtinId="52"/>
    <cellStyle name="常规 6" xfId="49"/>
  </cellStyles>
  <tableStyles count="0" defaultTableStyle="TableStyleMedium9" defaultPivotStyle="PivotStyleLight16"/>
  <colors>
    <mruColors>
      <color rgb="00F6F9B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4" Type="http://schemas.openxmlformats.org/officeDocument/2006/relationships/styles" Target="styles.xml"/><Relationship Id="rId33" Type="http://schemas.openxmlformats.org/officeDocument/2006/relationships/sheetMetadata" Target="metadata.xml"/><Relationship Id="rId32" Type="http://schemas.openxmlformats.org/officeDocument/2006/relationships/sharedStrings" Target="sharedStrings.xml"/><Relationship Id="rId31" Type="http://schemas.openxmlformats.org/officeDocument/2006/relationships/theme" Target="theme/theme1.xml"/><Relationship Id="rId30" Type="http://schemas.openxmlformats.org/officeDocument/2006/relationships/externalLink" Target="externalLinks/externalLink1.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9525</xdr:colOff>
      <xdr:row>3</xdr:row>
      <xdr:rowOff>28575</xdr:rowOff>
    </xdr:from>
    <xdr:to>
      <xdr:col>2</xdr:col>
      <xdr:colOff>0</xdr:colOff>
      <xdr:row>5</xdr:row>
      <xdr:rowOff>28575</xdr:rowOff>
    </xdr:to>
    <xdr:sp>
      <xdr:nvSpPr>
        <xdr:cNvPr id="15634" name="Line 1"/>
        <xdr:cNvSpPr>
          <a:spLocks noChangeShapeType="1"/>
        </xdr:cNvSpPr>
      </xdr:nvSpPr>
      <xdr:spPr>
        <a:xfrm>
          <a:off x="353060" y="810895"/>
          <a:ext cx="1210945" cy="452120"/>
        </a:xfrm>
        <a:prstGeom prst="line">
          <a:avLst/>
        </a:prstGeom>
        <a:noFill/>
        <a:ln w="9525">
          <a:solidFill>
            <a:srgbClr val="000000"/>
          </a:solidFill>
          <a:rou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ohn/Desktop/Works/&#21513;&#23572;&#21513;&#26031;&#22374;&#39033;&#30446;/&#20013;&#33410;&#33021;/&#23613;&#35843;/&#38382;&#39064;&#21450;&#30456;&#20851;&#25991;&#20214;/&#21513;&#23572;&#21513;&#26031;&#24052;&#29305;&#32943;600MW&#20809;&#20239;&#39033;&#30446;WACC&#27979;&#3163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WACC测算"/>
      <sheetName val="敏感性"/>
      <sheetName val="WACC-全人民币融资"/>
    </sheetNames>
    <sheetDataSet>
      <sheetData sheetId="0">
        <row r="9">
          <cell r="B9">
            <v>0.047</v>
          </cell>
        </row>
        <row r="13">
          <cell r="B13">
            <v>0.07</v>
          </cell>
        </row>
        <row r="17">
          <cell r="B17">
            <v>1.24</v>
          </cell>
        </row>
        <row r="18">
          <cell r="B18">
            <v>0.163</v>
          </cell>
        </row>
        <row r="20">
          <cell r="B20">
            <v>0.063</v>
          </cell>
        </row>
        <row r="22">
          <cell r="B22">
            <v>0.093</v>
          </cell>
        </row>
      </sheetData>
      <sheetData sheetId="1"/>
      <sheetData sheetId="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53"/>
  <sheetViews>
    <sheetView workbookViewId="0">
      <selection activeCell="I44" sqref="I44"/>
    </sheetView>
  </sheetViews>
  <sheetFormatPr defaultColWidth="9.64285714285714" defaultRowHeight="16.8" outlineLevelCol="7"/>
  <cols>
    <col min="1" max="1" width="9.64285714285714" style="1082"/>
    <col min="2" max="2" width="44.7857142857143" style="1082" customWidth="1"/>
    <col min="3" max="3" width="13.3214285714286" style="1082" customWidth="1"/>
    <col min="4" max="4" width="9.82142857142857" style="1083" customWidth="1"/>
    <col min="5" max="5" width="9.64285714285714" style="1083"/>
    <col min="6" max="6" width="14.6428571428571" style="1083"/>
    <col min="7" max="7" width="14.6428571428571" style="1082"/>
    <col min="8" max="8" width="12" style="1082"/>
    <col min="9" max="16384" width="9.64285714285714" style="1082"/>
  </cols>
  <sheetData>
    <row r="1" s="1082" customFormat="1" spans="2:7">
      <c r="D1" s="1083"/>
      <c r="E1" s="1083"/>
      <c r="F1" s="1083"/>
    </row>
    <row r="2" s="1082" customFormat="1" spans="2:7">
      <c r="D2" s="1083"/>
      <c r="E2" s="1083"/>
      <c r="F2" s="1083"/>
    </row>
    <row r="3" s="1082" customFormat="1" ht="20.4" spans="2:7">
      <c r="B3" s="1084" t="s">
        <v>0</v>
      </c>
      <c r="C3" s="1085"/>
      <c r="D3" s="1086"/>
      <c r="E3" s="1087" t="s">
        <v>1</v>
      </c>
      <c r="F3" s="1087">
        <v>7.02</v>
      </c>
    </row>
    <row r="4" s="1083" customFormat="1" spans="2:7">
      <c r="B4" s="1088" t="s">
        <v>2</v>
      </c>
      <c r="C4" s="1088" t="s">
        <v>3</v>
      </c>
      <c r="D4" s="1088" t="s">
        <v>4</v>
      </c>
      <c r="E4" s="1088" t="s">
        <v>5</v>
      </c>
      <c r="F4" s="1088" t="s">
        <v>6</v>
      </c>
    </row>
    <row r="5" s="1082" customFormat="1" spans="2:7">
      <c r="B5" s="1089" t="s">
        <v>7</v>
      </c>
      <c r="C5" s="1090"/>
      <c r="D5" s="1091"/>
      <c r="E5" s="1091"/>
      <c r="F5" s="1092">
        <f>SUM(F7:F21)</f>
        <v>34880000</v>
      </c>
      <c r="G5" s="1093">
        <f>F5*$F$3</f>
        <v>244857600</v>
      </c>
    </row>
    <row r="6" s="1082" customFormat="1" spans="2:7">
      <c r="B6" s="1094" t="s">
        <v>8</v>
      </c>
      <c r="C6" s="1095"/>
      <c r="D6" s="1088"/>
      <c r="E6" s="1088"/>
      <c r="F6" s="372"/>
    </row>
    <row r="7" s="1082" customFormat="1" spans="2:7">
      <c r="B7" s="1095" t="s">
        <v>9</v>
      </c>
      <c r="C7" s="1096">
        <v>1800</v>
      </c>
      <c r="D7" s="1088" t="s">
        <v>10</v>
      </c>
      <c r="E7" s="1088">
        <v>13500</v>
      </c>
      <c r="F7" s="372">
        <f t="shared" ref="F7:F21" si="0">C7*E7</f>
        <v>24300000</v>
      </c>
      <c r="G7" s="1093">
        <f>F7*$F$3</f>
        <v>170586000</v>
      </c>
    </row>
    <row r="8" s="1082" customFormat="1" spans="2:7">
      <c r="B8" s="1095" t="s">
        <v>11</v>
      </c>
      <c r="C8" s="1096">
        <v>70000</v>
      </c>
      <c r="D8" s="1088" t="s">
        <v>10</v>
      </c>
      <c r="E8" s="1088">
        <v>3</v>
      </c>
      <c r="F8" s="372">
        <f t="shared" si="0"/>
        <v>210000</v>
      </c>
      <c r="G8" s="1093">
        <f>F8*$F$3</f>
        <v>1474200</v>
      </c>
    </row>
    <row r="9" s="1082" customFormat="1" spans="2:7">
      <c r="B9" s="1095" t="s">
        <v>12</v>
      </c>
      <c r="C9" s="1096">
        <v>40000</v>
      </c>
      <c r="D9" s="1088" t="s">
        <v>10</v>
      </c>
      <c r="E9" s="1088">
        <v>15</v>
      </c>
      <c r="F9" s="372">
        <f t="shared" si="0"/>
        <v>600000</v>
      </c>
      <c r="G9" s="1093">
        <f>F9*$F$3</f>
        <v>4212000</v>
      </c>
    </row>
    <row r="10" s="1082" customFormat="1" spans="2:7">
      <c r="B10" s="1095" t="s">
        <v>13</v>
      </c>
      <c r="C10" s="1096">
        <v>70000</v>
      </c>
      <c r="D10" s="1088" t="s">
        <v>14</v>
      </c>
      <c r="E10" s="1088">
        <v>1</v>
      </c>
      <c r="F10" s="372">
        <f t="shared" si="0"/>
        <v>70000</v>
      </c>
      <c r="G10" s="1093">
        <f>F10*$F$3</f>
        <v>491400</v>
      </c>
    </row>
    <row r="11" s="1082" customFormat="1" spans="2:7">
      <c r="B11" s="1094" t="s">
        <v>15</v>
      </c>
      <c r="C11" s="1096"/>
      <c r="D11" s="1088"/>
      <c r="E11" s="1088"/>
      <c r="F11" s="372">
        <f t="shared" si="0"/>
        <v>0</v>
      </c>
    </row>
    <row r="12" s="1082" customFormat="1" spans="2:7">
      <c r="B12" s="1095" t="s">
        <v>11</v>
      </c>
      <c r="C12" s="1096">
        <v>800000</v>
      </c>
      <c r="D12" s="1088" t="s">
        <v>10</v>
      </c>
      <c r="E12" s="1088">
        <v>2</v>
      </c>
      <c r="F12" s="372">
        <f t="shared" si="0"/>
        <v>1600000</v>
      </c>
      <c r="G12" s="1093">
        <f>F12*$F$3</f>
        <v>11232000</v>
      </c>
    </row>
    <row r="13" s="1082" customFormat="1" spans="2:7">
      <c r="B13" s="1095" t="s">
        <v>12</v>
      </c>
      <c r="C13" s="1096">
        <v>500000</v>
      </c>
      <c r="D13" s="1088" t="s">
        <v>10</v>
      </c>
      <c r="E13" s="1088">
        <v>10</v>
      </c>
      <c r="F13" s="372">
        <f t="shared" si="0"/>
        <v>5000000</v>
      </c>
      <c r="G13" s="1093">
        <f>F13*$F$3</f>
        <v>35100000</v>
      </c>
    </row>
    <row r="14" s="1082" customFormat="1" spans="2:7">
      <c r="B14" s="1095" t="s">
        <v>16</v>
      </c>
      <c r="C14" s="1096">
        <v>500000</v>
      </c>
      <c r="D14" s="1088" t="s">
        <v>17</v>
      </c>
      <c r="E14" s="1088">
        <v>1</v>
      </c>
      <c r="F14" s="372">
        <f t="shared" si="0"/>
        <v>500000</v>
      </c>
      <c r="G14" s="1093"/>
    </row>
    <row r="15" s="1082" customFormat="1" spans="2:7">
      <c r="B15" s="1094" t="s">
        <v>18</v>
      </c>
      <c r="C15" s="1096"/>
      <c r="D15" s="1088"/>
      <c r="E15" s="1088"/>
      <c r="F15" s="372">
        <f t="shared" si="0"/>
        <v>0</v>
      </c>
    </row>
    <row r="16" s="1082" customFormat="1" spans="2:7">
      <c r="B16" s="1095" t="s">
        <v>19</v>
      </c>
      <c r="C16" s="1096">
        <v>200000</v>
      </c>
      <c r="D16" s="1088" t="s">
        <v>17</v>
      </c>
      <c r="E16" s="1088">
        <v>1</v>
      </c>
      <c r="F16" s="372">
        <f t="shared" si="0"/>
        <v>200000</v>
      </c>
      <c r="G16" s="1093">
        <f>F16*$F$3</f>
        <v>1404000</v>
      </c>
    </row>
    <row r="17" s="1082" customFormat="1" spans="2:7">
      <c r="B17" s="1094" t="s">
        <v>20</v>
      </c>
      <c r="C17" s="1096"/>
      <c r="D17" s="1088"/>
      <c r="E17" s="1088"/>
      <c r="F17" s="372">
        <f t="shared" si="0"/>
        <v>0</v>
      </c>
    </row>
    <row r="18" s="1082" customFormat="1" spans="2:7">
      <c r="B18" s="1095" t="s">
        <v>21</v>
      </c>
      <c r="C18" s="1096">
        <v>5000</v>
      </c>
      <c r="D18" s="1088" t="s">
        <v>22</v>
      </c>
      <c r="E18" s="1088">
        <v>100</v>
      </c>
      <c r="F18" s="372">
        <f t="shared" si="0"/>
        <v>500000</v>
      </c>
      <c r="G18" s="1093">
        <f>F18*$F$3</f>
        <v>3510000</v>
      </c>
    </row>
    <row r="19" s="1082" customFormat="1" spans="2:7">
      <c r="B19" s="1095" t="s">
        <v>23</v>
      </c>
      <c r="C19" s="1096">
        <v>600</v>
      </c>
      <c r="D19" s="1088" t="s">
        <v>24</v>
      </c>
      <c r="E19" s="1088">
        <v>1500</v>
      </c>
      <c r="F19" s="372">
        <f t="shared" si="0"/>
        <v>900000</v>
      </c>
      <c r="G19" s="1093"/>
    </row>
    <row r="20" s="1082" customFormat="1" spans="2:7">
      <c r="B20" s="1095" t="s">
        <v>25</v>
      </c>
      <c r="C20" s="1096">
        <v>800000</v>
      </c>
      <c r="D20" s="1088" t="s">
        <v>26</v>
      </c>
      <c r="E20" s="1088">
        <v>1</v>
      </c>
      <c r="F20" s="372">
        <f t="shared" si="0"/>
        <v>800000</v>
      </c>
      <c r="G20" s="1093"/>
    </row>
    <row r="21" s="1082" customFormat="1" spans="2:7">
      <c r="B21" s="1095" t="s">
        <v>27</v>
      </c>
      <c r="C21" s="1096">
        <v>200000</v>
      </c>
      <c r="D21" s="1088" t="s">
        <v>26</v>
      </c>
      <c r="E21" s="1088">
        <v>1</v>
      </c>
      <c r="F21" s="368">
        <f t="shared" si="0"/>
        <v>200000</v>
      </c>
      <c r="G21" s="1093">
        <f>F19*$F$3</f>
        <v>6318000</v>
      </c>
    </row>
    <row r="22" s="1082" customFormat="1" spans="2:7">
      <c r="B22" s="1089" t="s">
        <v>28</v>
      </c>
      <c r="C22" s="1097"/>
      <c r="D22" s="1091"/>
      <c r="E22" s="1091"/>
      <c r="F22" s="1092">
        <f>SUM(F24:F27)</f>
        <v>1310000</v>
      </c>
      <c r="G22" s="1093">
        <f>F22*$F$3</f>
        <v>9196200</v>
      </c>
    </row>
    <row r="23" s="1082" customFormat="1" spans="2:7">
      <c r="B23" s="1094" t="s">
        <v>29</v>
      </c>
      <c r="C23" s="1096"/>
      <c r="D23" s="1088"/>
      <c r="E23" s="1088"/>
      <c r="F23" s="372">
        <f t="shared" ref="F23:F27" si="1">C23*E23</f>
        <v>0</v>
      </c>
    </row>
    <row r="24" s="1082" customFormat="1" spans="2:7">
      <c r="B24" s="1095" t="s">
        <v>30</v>
      </c>
      <c r="C24" s="1096">
        <v>1000000</v>
      </c>
      <c r="D24" s="1088" t="s">
        <v>14</v>
      </c>
      <c r="E24" s="1088">
        <v>1</v>
      </c>
      <c r="F24" s="372">
        <f t="shared" si="1"/>
        <v>1000000</v>
      </c>
      <c r="G24" s="1093">
        <f>F24*$F$3</f>
        <v>7020000</v>
      </c>
    </row>
    <row r="25" s="1082" customFormat="1" spans="2:7">
      <c r="B25" s="1094" t="s">
        <v>31</v>
      </c>
      <c r="C25" s="1096"/>
      <c r="D25" s="1088"/>
      <c r="E25" s="1088"/>
      <c r="F25" s="372">
        <f t="shared" si="1"/>
        <v>0</v>
      </c>
    </row>
    <row r="26" s="1082" customFormat="1" spans="2:7">
      <c r="B26" s="1095" t="s">
        <v>32</v>
      </c>
      <c r="C26" s="1096">
        <v>300000</v>
      </c>
      <c r="D26" s="1088" t="s">
        <v>14</v>
      </c>
      <c r="E26" s="1088">
        <v>1</v>
      </c>
      <c r="F26" s="372">
        <f t="shared" si="1"/>
        <v>300000</v>
      </c>
      <c r="G26" s="1093">
        <f>F26*$F$3</f>
        <v>2106000</v>
      </c>
    </row>
    <row r="27" s="1082" customFormat="1" spans="2:7">
      <c r="B27" s="1095" t="s">
        <v>33</v>
      </c>
      <c r="C27" s="1096">
        <v>10000</v>
      </c>
      <c r="D27" s="1088" t="s">
        <v>14</v>
      </c>
      <c r="E27" s="1088">
        <v>1</v>
      </c>
      <c r="F27" s="372">
        <f t="shared" si="1"/>
        <v>10000</v>
      </c>
      <c r="G27" s="1093">
        <f>F27*$F$3</f>
        <v>70200</v>
      </c>
    </row>
    <row r="28" s="1082" customFormat="1" spans="2:7">
      <c r="B28" s="1089" t="s">
        <v>34</v>
      </c>
      <c r="C28" s="1097"/>
      <c r="D28" s="1091"/>
      <c r="E28" s="1091"/>
      <c r="F28" s="1092">
        <f>SUM(F29:F36)</f>
        <v>6310000</v>
      </c>
      <c r="G28" s="1093">
        <f>F28*$F$3</f>
        <v>44296200</v>
      </c>
    </row>
    <row r="29" s="1082" customFormat="1" spans="2:7">
      <c r="B29" s="1094" t="s">
        <v>35</v>
      </c>
      <c r="C29" s="1096"/>
      <c r="D29" s="1088"/>
      <c r="E29" s="1088"/>
      <c r="F29" s="372">
        <f t="shared" ref="F29:F36" si="2">C29*E29</f>
        <v>0</v>
      </c>
    </row>
    <row r="30" s="1082" customFormat="1" spans="2:7">
      <c r="B30" s="1095" t="s">
        <v>36</v>
      </c>
      <c r="C30" s="1096">
        <v>120000</v>
      </c>
      <c r="D30" s="1088" t="s">
        <v>37</v>
      </c>
      <c r="E30" s="1088">
        <v>1</v>
      </c>
      <c r="F30" s="372">
        <f t="shared" si="2"/>
        <v>120000</v>
      </c>
      <c r="G30" s="1093">
        <f>F30*$F$3</f>
        <v>842400</v>
      </c>
    </row>
    <row r="31" s="1082" customFormat="1" spans="2:7">
      <c r="B31" s="1095" t="s">
        <v>38</v>
      </c>
      <c r="C31" s="1096">
        <v>120000</v>
      </c>
      <c r="D31" s="1088" t="s">
        <v>37</v>
      </c>
      <c r="E31" s="1088">
        <v>1</v>
      </c>
      <c r="F31" s="372">
        <f t="shared" si="2"/>
        <v>120000</v>
      </c>
      <c r="G31" s="1093">
        <f>F31*$F$3</f>
        <v>842400</v>
      </c>
    </row>
    <row r="32" s="1082" customFormat="1" spans="2:7">
      <c r="B32" s="1094" t="s">
        <v>39</v>
      </c>
      <c r="C32" s="1096"/>
      <c r="D32" s="1088"/>
      <c r="E32" s="1088"/>
      <c r="F32" s="372">
        <f t="shared" si="2"/>
        <v>0</v>
      </c>
    </row>
    <row r="33" s="1082" customFormat="1" spans="2:8">
      <c r="B33" s="1095" t="s">
        <v>40</v>
      </c>
      <c r="C33" s="1096">
        <v>6000000</v>
      </c>
      <c r="D33" s="1088" t="s">
        <v>37</v>
      </c>
      <c r="E33" s="1088">
        <v>1</v>
      </c>
      <c r="F33" s="372">
        <f t="shared" si="2"/>
        <v>6000000</v>
      </c>
      <c r="G33" s="1093">
        <f>F33*$F$3</f>
        <v>42120000</v>
      </c>
    </row>
    <row r="34" s="1082" customFormat="1" spans="2:8">
      <c r="B34" s="1094" t="s">
        <v>41</v>
      </c>
      <c r="C34" s="1096"/>
      <c r="D34" s="1088"/>
      <c r="E34" s="1088"/>
      <c r="F34" s="372">
        <f t="shared" si="2"/>
        <v>0</v>
      </c>
    </row>
    <row r="35" s="1082" customFormat="1" spans="2:8">
      <c r="B35" s="1095" t="s">
        <v>42</v>
      </c>
      <c r="C35" s="1096">
        <v>35000</v>
      </c>
      <c r="D35" s="1088" t="s">
        <v>37</v>
      </c>
      <c r="E35" s="1088">
        <v>1</v>
      </c>
      <c r="F35" s="372">
        <f t="shared" si="2"/>
        <v>35000</v>
      </c>
      <c r="G35" s="1093">
        <f>F35*$F$3</f>
        <v>245700</v>
      </c>
    </row>
    <row r="36" s="1082" customFormat="1" spans="2:8">
      <c r="B36" s="1095" t="s">
        <v>43</v>
      </c>
      <c r="C36" s="1096">
        <v>35000</v>
      </c>
      <c r="D36" s="1088" t="s">
        <v>37</v>
      </c>
      <c r="E36" s="1088">
        <v>1</v>
      </c>
      <c r="F36" s="372">
        <f t="shared" si="2"/>
        <v>35000</v>
      </c>
      <c r="G36" s="1093">
        <f>F36*$F$3</f>
        <v>245700</v>
      </c>
    </row>
    <row r="37" s="1082" customFormat="1" spans="2:8">
      <c r="B37" s="1095" t="s">
        <v>44</v>
      </c>
      <c r="C37" s="1096"/>
      <c r="D37" s="1088"/>
      <c r="E37" s="1088"/>
      <c r="F37" s="372"/>
    </row>
    <row r="38" s="1082" customFormat="1" spans="2:8">
      <c r="B38" s="1089" t="s">
        <v>45</v>
      </c>
      <c r="C38" s="1098"/>
      <c r="D38" s="1099"/>
      <c r="E38" s="1099"/>
      <c r="F38" s="1092">
        <f>SUM(F39:F47)</f>
        <v>760000</v>
      </c>
      <c r="G38" s="1093">
        <f>F38*$F$3</f>
        <v>5335200</v>
      </c>
    </row>
    <row r="39" s="1082" customFormat="1" spans="2:8">
      <c r="B39" s="1100" t="s">
        <v>46</v>
      </c>
      <c r="C39" s="1096"/>
      <c r="D39" s="1088"/>
      <c r="E39" s="1088"/>
      <c r="F39" s="372">
        <f t="shared" ref="F39:F47" si="3">C39*E39</f>
        <v>0</v>
      </c>
    </row>
    <row r="40" s="1082" customFormat="1" spans="2:8">
      <c r="B40" s="1095" t="s">
        <v>47</v>
      </c>
      <c r="C40" s="1096">
        <v>120000</v>
      </c>
      <c r="D40" s="1088" t="s">
        <v>37</v>
      </c>
      <c r="E40" s="1088">
        <v>1</v>
      </c>
      <c r="F40" s="372">
        <f t="shared" si="3"/>
        <v>120000</v>
      </c>
      <c r="G40" s="1093">
        <f>F40*$F$3</f>
        <v>842400</v>
      </c>
    </row>
    <row r="41" s="1082" customFormat="1" spans="2:8">
      <c r="B41" s="1095" t="s">
        <v>48</v>
      </c>
      <c r="C41" s="1096">
        <v>30000</v>
      </c>
      <c r="D41" s="1088" t="s">
        <v>37</v>
      </c>
      <c r="E41" s="1088">
        <v>1</v>
      </c>
      <c r="F41" s="372">
        <f t="shared" si="3"/>
        <v>30000</v>
      </c>
      <c r="G41" s="1093">
        <f>F41*$F$3</f>
        <v>210600</v>
      </c>
    </row>
    <row r="42" s="1082" customFormat="1" spans="2:8">
      <c r="B42" s="1094" t="s">
        <v>49</v>
      </c>
      <c r="C42" s="1096"/>
      <c r="D42" s="1088"/>
      <c r="E42" s="1088"/>
      <c r="F42" s="372">
        <f t="shared" si="3"/>
        <v>0</v>
      </c>
    </row>
    <row r="43" s="1082" customFormat="1" spans="2:8">
      <c r="B43" s="1095" t="s">
        <v>50</v>
      </c>
      <c r="C43" s="1096">
        <v>110000</v>
      </c>
      <c r="D43" s="1088" t="s">
        <v>51</v>
      </c>
      <c r="E43" s="1088">
        <v>4</v>
      </c>
      <c r="F43" s="372">
        <f t="shared" si="3"/>
        <v>440000</v>
      </c>
      <c r="G43" s="1093">
        <f>F43*$F$3</f>
        <v>3088800</v>
      </c>
    </row>
    <row r="44" s="1082" customFormat="1" spans="2:8">
      <c r="B44" s="1095" t="s">
        <v>52</v>
      </c>
      <c r="C44" s="1096">
        <v>10000</v>
      </c>
      <c r="D44" s="1088" t="s">
        <v>37</v>
      </c>
      <c r="E44" s="1088">
        <v>4</v>
      </c>
      <c r="F44" s="372">
        <f t="shared" si="3"/>
        <v>40000</v>
      </c>
      <c r="G44" s="1093">
        <f>F44*$F$3</f>
        <v>280800</v>
      </c>
    </row>
    <row r="45" s="1082" customFormat="1" spans="2:8">
      <c r="B45" s="1094" t="s">
        <v>53</v>
      </c>
      <c r="C45" s="1096"/>
      <c r="D45" s="1088"/>
      <c r="E45" s="1088"/>
      <c r="F45" s="372">
        <f t="shared" si="3"/>
        <v>0</v>
      </c>
    </row>
    <row r="46" s="1082" customFormat="1" spans="2:8">
      <c r="B46" s="1095" t="s">
        <v>54</v>
      </c>
      <c r="C46" s="1096">
        <v>500</v>
      </c>
      <c r="D46" s="1088" t="s">
        <v>55</v>
      </c>
      <c r="E46" s="1088">
        <v>200</v>
      </c>
      <c r="F46" s="372">
        <f t="shared" si="3"/>
        <v>100000</v>
      </c>
      <c r="G46" s="1093">
        <f t="shared" ref="G46:G52" si="4">F46*$F$3</f>
        <v>702000</v>
      </c>
    </row>
    <row r="47" s="1082" customFormat="1" spans="2:8">
      <c r="B47" s="1095" t="s">
        <v>56</v>
      </c>
      <c r="C47" s="1096">
        <v>150</v>
      </c>
      <c r="D47" s="1088" t="s">
        <v>55</v>
      </c>
      <c r="E47" s="1088">
        <v>200</v>
      </c>
      <c r="F47" s="372">
        <f t="shared" si="3"/>
        <v>30000</v>
      </c>
      <c r="G47" s="1093">
        <f t="shared" si="4"/>
        <v>210600</v>
      </c>
    </row>
    <row r="48" s="1082" customFormat="1" spans="2:8">
      <c r="B48" s="1101" t="s">
        <v>57</v>
      </c>
      <c r="C48" s="1102"/>
      <c r="D48" s="1103"/>
      <c r="E48" s="1103"/>
      <c r="F48" s="1104">
        <f>SUM(F49:F52)</f>
        <v>43260000</v>
      </c>
      <c r="G48" s="1093">
        <f t="shared" si="4"/>
        <v>303685200</v>
      </c>
      <c r="H48" s="1082">
        <f>G5/G48</f>
        <v>0.806287563569117</v>
      </c>
    </row>
    <row r="49" s="1082" customFormat="1" spans="2:7">
      <c r="B49" s="1095" t="s">
        <v>7</v>
      </c>
      <c r="C49" s="1096"/>
      <c r="D49" s="1088" t="s">
        <v>58</v>
      </c>
      <c r="E49" s="1088"/>
      <c r="F49" s="372">
        <f>F5</f>
        <v>34880000</v>
      </c>
      <c r="G49" s="1093">
        <f t="shared" si="4"/>
        <v>244857600</v>
      </c>
    </row>
    <row r="50" s="1082" customFormat="1" spans="2:7">
      <c r="B50" s="1095" t="s">
        <v>28</v>
      </c>
      <c r="C50" s="1096"/>
      <c r="D50" s="1088" t="s">
        <v>58</v>
      </c>
      <c r="E50" s="1088"/>
      <c r="F50" s="372">
        <f>F22</f>
        <v>1310000</v>
      </c>
      <c r="G50" s="1093">
        <f t="shared" si="4"/>
        <v>9196200</v>
      </c>
    </row>
    <row r="51" s="1082" customFormat="1" spans="2:7">
      <c r="B51" s="1095" t="s">
        <v>34</v>
      </c>
      <c r="C51" s="1096"/>
      <c r="D51" s="1088" t="s">
        <v>58</v>
      </c>
      <c r="E51" s="1088"/>
      <c r="F51" s="372">
        <f>F28</f>
        <v>6310000</v>
      </c>
      <c r="G51" s="1093">
        <f t="shared" si="4"/>
        <v>44296200</v>
      </c>
    </row>
    <row r="52" s="1082" customFormat="1" spans="2:7">
      <c r="B52" s="1095" t="s">
        <v>59</v>
      </c>
      <c r="C52" s="1096"/>
      <c r="D52" s="1088" t="s">
        <v>58</v>
      </c>
      <c r="E52" s="1088"/>
      <c r="F52" s="372">
        <f>F38</f>
        <v>760000</v>
      </c>
      <c r="G52" s="1093">
        <f t="shared" si="4"/>
        <v>5335200</v>
      </c>
    </row>
    <row r="53" s="1082" customFormat="1" spans="2:7">
      <c r="D53" s="1083"/>
      <c r="E53" s="1083"/>
      <c r="F53" s="1083"/>
    </row>
  </sheetData>
  <mergeCells count="1">
    <mergeCell ref="B3:D3"/>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E47"/>
  <sheetViews>
    <sheetView topLeftCell="A33" workbookViewId="0">
      <selection activeCell="I44" sqref="I44"/>
    </sheetView>
  </sheetViews>
  <sheetFormatPr defaultColWidth="9.0625" defaultRowHeight="17.6" outlineLevelCol="4"/>
  <cols>
    <col min="2" max="2" width="8.33035714285714" customWidth="1"/>
    <col min="3" max="3" width="35.1339285714286" customWidth="1"/>
    <col min="4" max="4" width="36.1071428571429" customWidth="1"/>
    <col min="5" max="5" width="47.0803571428571" customWidth="1"/>
  </cols>
  <sheetData>
    <row r="3" ht="23.95" spans="2:5">
      <c r="B3" s="1062" t="s">
        <v>60</v>
      </c>
      <c r="C3" s="1063"/>
      <c r="D3" s="1063"/>
      <c r="E3" s="1063"/>
    </row>
    <row r="4" ht="18.35" spans="2:5">
      <c r="B4" s="1064" t="s">
        <v>61</v>
      </c>
      <c r="C4" s="1065" t="s">
        <v>62</v>
      </c>
      <c r="D4" s="1065" t="s">
        <v>63</v>
      </c>
      <c r="E4" s="1066" t="s">
        <v>64</v>
      </c>
    </row>
    <row r="5" ht="18.35" spans="2:5">
      <c r="B5" s="1067">
        <v>1</v>
      </c>
      <c r="C5" s="1068" t="s">
        <v>65</v>
      </c>
      <c r="D5" s="1069" t="s">
        <v>66</v>
      </c>
      <c r="E5" s="1070" t="s">
        <v>67</v>
      </c>
    </row>
    <row r="6" ht="18.35" spans="2:5">
      <c r="B6" s="1067">
        <v>2</v>
      </c>
      <c r="C6" s="1069" t="s">
        <v>68</v>
      </c>
      <c r="D6" s="1069" t="s">
        <v>69</v>
      </c>
      <c r="E6" s="1070"/>
    </row>
    <row r="7" ht="34.75" spans="2:5">
      <c r="B7" s="1071">
        <v>3</v>
      </c>
      <c r="C7" s="1072" t="s">
        <v>70</v>
      </c>
      <c r="D7" s="1072" t="s">
        <v>71</v>
      </c>
      <c r="E7" s="1073" t="s">
        <v>72</v>
      </c>
    </row>
    <row r="8" ht="34.75" spans="2:5">
      <c r="B8" s="1071">
        <v>4</v>
      </c>
      <c r="C8" s="1072" t="s">
        <v>73</v>
      </c>
      <c r="D8" s="1072" t="s">
        <v>74</v>
      </c>
      <c r="E8" s="1073" t="s">
        <v>75</v>
      </c>
    </row>
    <row r="9" ht="34.75" spans="2:5">
      <c r="B9" s="1071">
        <v>5</v>
      </c>
      <c r="C9" s="1072" t="s">
        <v>76</v>
      </c>
      <c r="D9" s="1072" t="s">
        <v>74</v>
      </c>
      <c r="E9" s="1073" t="s">
        <v>75</v>
      </c>
    </row>
    <row r="10" ht="18.35" spans="2:5">
      <c r="B10" s="1067">
        <v>6</v>
      </c>
      <c r="C10" s="1069" t="s">
        <v>77</v>
      </c>
      <c r="D10" s="1069" t="s">
        <v>78</v>
      </c>
      <c r="E10" s="1068" t="s">
        <v>79</v>
      </c>
    </row>
    <row r="11" ht="18.35" spans="2:5">
      <c r="B11" s="1071">
        <v>7</v>
      </c>
      <c r="C11" s="1072" t="s">
        <v>80</v>
      </c>
      <c r="D11" s="1072" t="s">
        <v>74</v>
      </c>
      <c r="E11" s="1073" t="s">
        <v>81</v>
      </c>
    </row>
    <row r="12" ht="34.75" spans="2:5">
      <c r="B12" s="1071">
        <v>8</v>
      </c>
      <c r="C12" s="1072" t="s">
        <v>82</v>
      </c>
      <c r="D12" s="1072" t="s">
        <v>83</v>
      </c>
      <c r="E12" s="1073" t="s">
        <v>81</v>
      </c>
    </row>
    <row r="13" ht="34.75" spans="2:5">
      <c r="B13" s="1071">
        <v>9</v>
      </c>
      <c r="C13" s="1072" t="s">
        <v>84</v>
      </c>
      <c r="D13" s="1072" t="s">
        <v>85</v>
      </c>
      <c r="E13" s="1073" t="s">
        <v>81</v>
      </c>
    </row>
    <row r="14" ht="18.35" spans="2:5">
      <c r="B14" s="1071">
        <v>10</v>
      </c>
      <c r="C14" s="1072" t="s">
        <v>86</v>
      </c>
      <c r="D14" s="1072" t="s">
        <v>87</v>
      </c>
      <c r="E14" s="1073" t="s">
        <v>81</v>
      </c>
    </row>
    <row r="15" ht="34.75" spans="2:5">
      <c r="B15" s="1071">
        <v>11</v>
      </c>
      <c r="C15" s="1072" t="s">
        <v>88</v>
      </c>
      <c r="D15" s="1072" t="s">
        <v>89</v>
      </c>
      <c r="E15" s="1073" t="s">
        <v>81</v>
      </c>
    </row>
    <row r="16" ht="18.35" spans="2:5">
      <c r="B16" s="1067">
        <v>12</v>
      </c>
      <c r="C16" s="1069" t="s">
        <v>90</v>
      </c>
      <c r="D16" s="1069" t="s">
        <v>74</v>
      </c>
      <c r="E16" s="1068" t="s">
        <v>79</v>
      </c>
    </row>
    <row r="17" ht="34.75" spans="2:5">
      <c r="B17" s="1067">
        <v>13</v>
      </c>
      <c r="C17" s="1069" t="s">
        <v>91</v>
      </c>
      <c r="D17" s="1069" t="s">
        <v>92</v>
      </c>
      <c r="E17" s="1068" t="s">
        <v>93</v>
      </c>
    </row>
    <row r="18" ht="34.75" spans="2:5">
      <c r="B18" s="1067">
        <v>14</v>
      </c>
      <c r="C18" s="1069" t="s">
        <v>94</v>
      </c>
      <c r="D18" s="1069" t="s">
        <v>95</v>
      </c>
      <c r="E18" s="1068" t="s">
        <v>96</v>
      </c>
    </row>
    <row r="19" ht="34.75" spans="2:5">
      <c r="B19" s="1067">
        <v>15</v>
      </c>
      <c r="C19" s="1074" t="s">
        <v>97</v>
      </c>
      <c r="D19" s="1069" t="s">
        <v>98</v>
      </c>
      <c r="E19" s="1068" t="s">
        <v>99</v>
      </c>
    </row>
    <row r="20" ht="18.35" spans="2:5">
      <c r="B20" s="1067">
        <v>16</v>
      </c>
      <c r="C20" s="1069" t="s">
        <v>100</v>
      </c>
      <c r="D20" s="1069" t="s">
        <v>101</v>
      </c>
      <c r="E20" s="1068" t="s">
        <v>102</v>
      </c>
    </row>
    <row r="21" ht="34.75" spans="2:5">
      <c r="B21" s="1067">
        <v>17</v>
      </c>
      <c r="C21" s="1069" t="s">
        <v>103</v>
      </c>
      <c r="D21" s="1069" t="s">
        <v>74</v>
      </c>
      <c r="E21" s="1068" t="s">
        <v>104</v>
      </c>
    </row>
    <row r="22" ht="51.75" spans="2:5">
      <c r="B22" s="1067">
        <v>18</v>
      </c>
      <c r="C22" s="1068" t="s">
        <v>105</v>
      </c>
      <c r="D22" s="1068" t="s">
        <v>106</v>
      </c>
      <c r="E22" s="1068" t="s">
        <v>104</v>
      </c>
    </row>
    <row r="23" ht="34.75" spans="2:5">
      <c r="B23" s="1067">
        <v>20</v>
      </c>
      <c r="C23" s="1068" t="s">
        <v>107</v>
      </c>
      <c r="D23" s="1068" t="s">
        <v>108</v>
      </c>
      <c r="E23" s="1068" t="s">
        <v>104</v>
      </c>
    </row>
    <row r="24" ht="34.75" spans="2:5">
      <c r="B24" s="1067">
        <v>21</v>
      </c>
      <c r="C24" s="1068" t="s">
        <v>109</v>
      </c>
      <c r="D24" s="1068" t="s">
        <v>110</v>
      </c>
      <c r="E24" s="1068" t="s">
        <v>111</v>
      </c>
    </row>
    <row r="25" ht="34.75" spans="2:5">
      <c r="B25" s="1067">
        <v>22</v>
      </c>
      <c r="C25" s="1068" t="s">
        <v>112</v>
      </c>
      <c r="D25" s="1068" t="s">
        <v>113</v>
      </c>
      <c r="E25" s="1068" t="s">
        <v>114</v>
      </c>
    </row>
    <row r="26" ht="18.35" spans="2:5">
      <c r="B26" s="1067">
        <v>23</v>
      </c>
      <c r="C26" s="1068" t="s">
        <v>115</v>
      </c>
      <c r="D26" s="1068" t="s">
        <v>116</v>
      </c>
      <c r="E26" s="1068" t="s">
        <v>79</v>
      </c>
    </row>
    <row r="27" ht="18.35" spans="2:5">
      <c r="B27" s="1067">
        <v>24</v>
      </c>
      <c r="C27" s="1068" t="s">
        <v>117</v>
      </c>
      <c r="D27" s="1068" t="s">
        <v>118</v>
      </c>
      <c r="E27" s="1068" t="s">
        <v>119</v>
      </c>
    </row>
    <row r="28" ht="34.75" spans="2:5">
      <c r="B28" s="1071">
        <v>25</v>
      </c>
      <c r="C28" s="1073" t="s">
        <v>120</v>
      </c>
      <c r="D28" s="1073" t="s">
        <v>121</v>
      </c>
      <c r="E28" s="1073" t="s">
        <v>122</v>
      </c>
    </row>
    <row r="29" ht="51.75" spans="2:5">
      <c r="B29" s="1067">
        <v>26</v>
      </c>
      <c r="C29" s="1075" t="s">
        <v>123</v>
      </c>
      <c r="D29" s="1068" t="s">
        <v>124</v>
      </c>
      <c r="E29" s="1068" t="s">
        <v>125</v>
      </c>
    </row>
    <row r="30" ht="18.35" spans="2:5">
      <c r="B30" s="1071">
        <v>27</v>
      </c>
      <c r="C30" s="1076" t="s">
        <v>126</v>
      </c>
      <c r="D30" s="1077"/>
      <c r="E30" s="1078"/>
    </row>
    <row r="31" ht="34.75" spans="2:5">
      <c r="B31" s="1071">
        <v>28</v>
      </c>
      <c r="C31" s="1073" t="s">
        <v>127</v>
      </c>
      <c r="D31" s="1079" t="s">
        <v>128</v>
      </c>
      <c r="E31" s="1073" t="s">
        <v>81</v>
      </c>
    </row>
    <row r="32" ht="51.75" spans="2:5">
      <c r="B32" s="1071">
        <v>29</v>
      </c>
      <c r="C32" s="1073" t="s">
        <v>129</v>
      </c>
      <c r="D32" s="1080" t="s">
        <v>130</v>
      </c>
      <c r="E32" s="1073" t="s">
        <v>81</v>
      </c>
    </row>
    <row r="33" ht="101.75" spans="2:5">
      <c r="B33" s="1067">
        <v>30</v>
      </c>
      <c r="C33" s="1068" t="s">
        <v>131</v>
      </c>
      <c r="D33" s="1068" t="s">
        <v>132</v>
      </c>
      <c r="E33" s="1068" t="s">
        <v>133</v>
      </c>
    </row>
    <row r="34" ht="34.75" spans="2:5">
      <c r="B34" s="1071">
        <v>31</v>
      </c>
      <c r="C34" s="1073" t="s">
        <v>134</v>
      </c>
      <c r="D34" s="1073" t="s">
        <v>135</v>
      </c>
      <c r="E34" s="1073" t="s">
        <v>81</v>
      </c>
    </row>
    <row r="35" ht="34.75" spans="2:5">
      <c r="B35" s="1071">
        <v>32</v>
      </c>
      <c r="C35" s="1073" t="s">
        <v>136</v>
      </c>
      <c r="D35" s="1073" t="s">
        <v>137</v>
      </c>
      <c r="E35" s="1073" t="s">
        <v>81</v>
      </c>
    </row>
    <row r="36" ht="18.35" spans="2:5">
      <c r="B36" s="1071">
        <v>33</v>
      </c>
      <c r="C36" s="1073" t="s">
        <v>138</v>
      </c>
      <c r="D36" s="1073" t="s">
        <v>139</v>
      </c>
      <c r="E36" s="1073" t="s">
        <v>140</v>
      </c>
    </row>
    <row r="37" ht="34.75" spans="2:5">
      <c r="B37" s="1071">
        <v>34</v>
      </c>
      <c r="C37" s="1072" t="s">
        <v>141</v>
      </c>
      <c r="D37" s="1072" t="s">
        <v>142</v>
      </c>
      <c r="E37" s="1073" t="s">
        <v>81</v>
      </c>
    </row>
    <row r="38" ht="34.75" spans="2:5">
      <c r="B38" s="1067">
        <v>35</v>
      </c>
      <c r="C38" s="1069" t="s">
        <v>143</v>
      </c>
      <c r="D38" s="1069" t="s">
        <v>69</v>
      </c>
      <c r="E38" s="1068" t="s">
        <v>144</v>
      </c>
    </row>
    <row r="39" ht="18.35" spans="2:5">
      <c r="B39" s="1067">
        <v>36</v>
      </c>
      <c r="C39" s="1069" t="s">
        <v>145</v>
      </c>
      <c r="D39" s="1069" t="s">
        <v>146</v>
      </c>
      <c r="E39" s="1068" t="s">
        <v>147</v>
      </c>
    </row>
    <row r="40" ht="34.75" spans="2:5">
      <c r="B40" s="1067">
        <v>37</v>
      </c>
      <c r="C40" s="1069" t="s">
        <v>148</v>
      </c>
      <c r="D40" s="1069" t="s">
        <v>149</v>
      </c>
      <c r="E40" s="1068" t="s">
        <v>150</v>
      </c>
    </row>
    <row r="41" ht="34.75" spans="2:5">
      <c r="B41" s="1067">
        <v>38</v>
      </c>
      <c r="C41" s="1069" t="s">
        <v>151</v>
      </c>
      <c r="D41" s="1069" t="s">
        <v>152</v>
      </c>
      <c r="E41" s="1068" t="s">
        <v>104</v>
      </c>
    </row>
    <row r="42" ht="34.75" spans="2:5">
      <c r="B42" s="1071">
        <v>39</v>
      </c>
      <c r="C42" s="1072" t="s">
        <v>153</v>
      </c>
      <c r="D42" s="1072" t="s">
        <v>154</v>
      </c>
      <c r="E42" s="1073" t="s">
        <v>155</v>
      </c>
    </row>
    <row r="43" ht="34.75" spans="2:5">
      <c r="B43" s="1071">
        <v>40</v>
      </c>
      <c r="C43" s="1073" t="s">
        <v>156</v>
      </c>
      <c r="D43" s="1073" t="s">
        <v>157</v>
      </c>
      <c r="E43" s="1073" t="s">
        <v>81</v>
      </c>
    </row>
    <row r="44" ht="18.35" spans="2:5">
      <c r="B44" s="1067">
        <v>41</v>
      </c>
      <c r="C44" s="1068" t="s">
        <v>158</v>
      </c>
      <c r="D44" s="1068" t="s">
        <v>159</v>
      </c>
      <c r="E44" s="1068" t="s">
        <v>160</v>
      </c>
    </row>
    <row r="45" ht="18.35" spans="2:5">
      <c r="B45" s="1067">
        <v>42</v>
      </c>
      <c r="C45" s="1069" t="s">
        <v>161</v>
      </c>
      <c r="D45" s="1069" t="s">
        <v>159</v>
      </c>
      <c r="E45" s="1068" t="s">
        <v>162</v>
      </c>
    </row>
    <row r="46" ht="51.75" spans="2:5">
      <c r="B46" s="1071">
        <v>43</v>
      </c>
      <c r="C46" s="1072" t="s">
        <v>163</v>
      </c>
      <c r="D46" s="1072" t="s">
        <v>164</v>
      </c>
      <c r="E46" s="1078"/>
    </row>
    <row r="47" spans="2:5">
      <c r="B47" s="1081" t="s">
        <v>165</v>
      </c>
    </row>
  </sheetData>
  <mergeCells count="2">
    <mergeCell ref="B3:E3"/>
    <mergeCell ref="E5:E6"/>
  </mergeCell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B1:J36"/>
  <sheetViews>
    <sheetView showZeros="0" zoomScale="110" zoomScaleNormal="110" workbookViewId="0">
      <selection activeCell="I44" sqref="I44"/>
    </sheetView>
  </sheetViews>
  <sheetFormatPr defaultColWidth="9.0625" defaultRowHeight="17.6"/>
  <cols>
    <col min="3" max="3" width="29.1607142857143" customWidth="1"/>
    <col min="4" max="4" width="7.82142857142857" style="1" customWidth="1"/>
    <col min="5" max="5" width="11.0625"/>
    <col min="8" max="9" width="11.0625"/>
    <col min="10" max="10" width="13.4642857142857" customWidth="1"/>
    <col min="12" max="13" width="12.6696428571429"/>
  </cols>
  <sheetData>
    <row r="1" customHeight="1"/>
    <row r="2" ht="18.35"/>
    <row r="3" spans="2:10">
      <c r="B3" s="1022" t="s">
        <v>61</v>
      </c>
      <c r="C3" s="1023" t="s">
        <v>166</v>
      </c>
      <c r="D3" s="1023" t="s">
        <v>167</v>
      </c>
      <c r="E3" s="1023" t="s">
        <v>168</v>
      </c>
      <c r="F3" s="1024" t="s">
        <v>169</v>
      </c>
      <c r="G3" s="1024" t="s">
        <v>170</v>
      </c>
      <c r="H3" s="1023" t="s">
        <v>171</v>
      </c>
      <c r="I3" s="1023" t="s">
        <v>172</v>
      </c>
      <c r="J3" s="1024" t="s">
        <v>173</v>
      </c>
    </row>
    <row r="4" ht="18.35" spans="2:10">
      <c r="B4" s="1025"/>
      <c r="C4" s="1026"/>
      <c r="D4" s="1026"/>
      <c r="E4" s="1027"/>
      <c r="F4" s="1028"/>
      <c r="G4" s="1028"/>
      <c r="H4" s="1026"/>
      <c r="I4" s="1026"/>
      <c r="J4" s="1029"/>
    </row>
    <row r="5" ht="18.35" spans="2:10">
      <c r="B5" s="1030"/>
      <c r="C5" s="1027"/>
      <c r="D5" s="1027"/>
      <c r="E5" s="1027" t="s">
        <v>174</v>
      </c>
      <c r="F5" s="1028" t="s">
        <v>175</v>
      </c>
      <c r="G5" s="1028" t="s">
        <v>176</v>
      </c>
      <c r="H5" s="1027"/>
      <c r="I5" s="1027"/>
      <c r="J5" s="1028"/>
    </row>
    <row r="6" ht="18.35" spans="2:10">
      <c r="B6" s="1031">
        <v>1</v>
      </c>
      <c r="C6" s="1032" t="s">
        <v>177</v>
      </c>
      <c r="D6" s="1033"/>
      <c r="E6" s="1034">
        <f t="shared" ref="E6:I6" si="0">E7+E11</f>
        <v>122140</v>
      </c>
      <c r="F6" s="1034">
        <f t="shared" si="0"/>
        <v>76042</v>
      </c>
      <c r="G6" s="1034">
        <f t="shared" si="0"/>
        <v>55160</v>
      </c>
      <c r="H6" s="1034">
        <f t="shared" si="0"/>
        <v>0</v>
      </c>
      <c r="I6" s="1034">
        <f t="shared" si="0"/>
        <v>253342</v>
      </c>
      <c r="J6" s="1035">
        <f>I6/$I$31</f>
        <v>0.893176910488778</v>
      </c>
    </row>
    <row r="7" ht="18.35" spans="2:10">
      <c r="B7" s="982">
        <v>1.1</v>
      </c>
      <c r="C7" s="1036" t="s">
        <v>178</v>
      </c>
      <c r="D7" s="1027"/>
      <c r="E7" s="1037">
        <f t="shared" ref="E7:I7" si="1">SUM(E8:E10)</f>
        <v>0</v>
      </c>
      <c r="F7" s="1037">
        <f t="shared" si="1"/>
        <v>76042</v>
      </c>
      <c r="G7" s="1037">
        <f t="shared" si="1"/>
        <v>55160</v>
      </c>
      <c r="H7" s="1037">
        <f t="shared" si="1"/>
        <v>0</v>
      </c>
      <c r="I7" s="1037">
        <f t="shared" si="1"/>
        <v>131202</v>
      </c>
      <c r="J7" s="1037"/>
    </row>
    <row r="8" ht="18.35" spans="2:10">
      <c r="B8" s="1038" t="s">
        <v>179</v>
      </c>
      <c r="C8" s="1036" t="s">
        <v>180</v>
      </c>
      <c r="D8" s="1027"/>
      <c r="E8" s="1037"/>
      <c r="F8" s="1039">
        <v>76042</v>
      </c>
      <c r="G8" s="1039">
        <v>39400</v>
      </c>
      <c r="H8" s="1037"/>
      <c r="I8" s="1040">
        <f>SUM(E8:H8)</f>
        <v>115442</v>
      </c>
      <c r="J8" s="1037"/>
    </row>
    <row r="9" ht="18.35" spans="2:10">
      <c r="B9" s="1038" t="s">
        <v>181</v>
      </c>
      <c r="C9" s="1036" t="s">
        <v>182</v>
      </c>
      <c r="D9" s="1027"/>
      <c r="E9" s="1037"/>
      <c r="F9" s="1037"/>
      <c r="G9" s="1039">
        <v>11820</v>
      </c>
      <c r="H9" s="1037"/>
      <c r="I9" s="1040">
        <f>SUM(E9:H9)</f>
        <v>11820</v>
      </c>
      <c r="J9" s="1037"/>
    </row>
    <row r="10" ht="18.35" spans="2:10">
      <c r="B10" s="1038" t="s">
        <v>183</v>
      </c>
      <c r="C10" s="1036" t="s">
        <v>184</v>
      </c>
      <c r="D10" s="1027"/>
      <c r="E10" s="1037"/>
      <c r="F10" s="1037"/>
      <c r="G10" s="1039">
        <v>3940</v>
      </c>
      <c r="H10" s="1037"/>
      <c r="I10" s="1040">
        <f>SUM(E10:H10)</f>
        <v>3940</v>
      </c>
      <c r="J10" s="1037"/>
    </row>
    <row r="11" ht="18.35" spans="2:10">
      <c r="B11" s="982">
        <v>1.2</v>
      </c>
      <c r="C11" s="1036" t="s">
        <v>168</v>
      </c>
      <c r="D11" s="1027"/>
      <c r="E11" s="1041">
        <f t="shared" ref="E11:I11" si="2">E12</f>
        <v>122140</v>
      </c>
      <c r="F11" s="1041">
        <f t="shared" si="2"/>
        <v>0</v>
      </c>
      <c r="G11" s="1041">
        <f t="shared" si="2"/>
        <v>0</v>
      </c>
      <c r="H11" s="1041">
        <f t="shared" si="2"/>
        <v>0</v>
      </c>
      <c r="I11" s="1041">
        <f t="shared" si="2"/>
        <v>122140</v>
      </c>
      <c r="J11" s="1037"/>
    </row>
    <row r="12" ht="18.35" spans="2:10">
      <c r="B12" s="1038" t="s">
        <v>185</v>
      </c>
      <c r="C12" s="1036" t="s">
        <v>186</v>
      </c>
      <c r="D12" s="1027"/>
      <c r="E12" s="1039">
        <v>122140</v>
      </c>
      <c r="F12" s="1037"/>
      <c r="G12" s="1037"/>
      <c r="H12" s="1042"/>
      <c r="I12" s="1040">
        <f>SUM(E12:H12)</f>
        <v>122140</v>
      </c>
      <c r="J12" s="1037"/>
    </row>
    <row r="13" ht="18.35" spans="2:10">
      <c r="B13" s="1031">
        <v>2</v>
      </c>
      <c r="C13" s="1032" t="s">
        <v>187</v>
      </c>
      <c r="D13" s="1033"/>
      <c r="E13" s="1043">
        <f t="shared" ref="E13:I13" si="3">E14+E15+E25+E26</f>
        <v>0</v>
      </c>
      <c r="F13" s="1043">
        <f t="shared" si="3"/>
        <v>0</v>
      </c>
      <c r="G13" s="1043">
        <f t="shared" si="3"/>
        <v>0</v>
      </c>
      <c r="H13" s="1044">
        <f t="shared" si="3"/>
        <v>11783.47484</v>
      </c>
      <c r="I13" s="1044">
        <f t="shared" si="3"/>
        <v>11783.47484</v>
      </c>
      <c r="J13" s="1035">
        <f>I13/$I$31</f>
        <v>0.0415435563483885</v>
      </c>
    </row>
    <row r="14" ht="18.35" spans="2:10">
      <c r="B14" s="982">
        <v>2.1</v>
      </c>
      <c r="C14" s="1036" t="s">
        <v>188</v>
      </c>
      <c r="D14" s="1027"/>
      <c r="E14" s="1037"/>
      <c r="F14" s="1037"/>
      <c r="G14" s="1037"/>
      <c r="H14" s="1039">
        <v>50</v>
      </c>
      <c r="I14" s="1040">
        <f>SUM(E14:H14)</f>
        <v>50</v>
      </c>
      <c r="J14" s="1037"/>
    </row>
    <row r="15" ht="18.35" spans="2:10">
      <c r="B15" s="982">
        <v>2.2</v>
      </c>
      <c r="C15" s="1036" t="s">
        <v>189</v>
      </c>
      <c r="D15" s="1027"/>
      <c r="E15" s="1037">
        <f t="shared" ref="E15:I15" si="4">SUM(E16:E24)</f>
        <v>0</v>
      </c>
      <c r="F15" s="1037">
        <f t="shared" si="4"/>
        <v>0</v>
      </c>
      <c r="G15" s="1037">
        <f t="shared" si="4"/>
        <v>0</v>
      </c>
      <c r="H15" s="1045">
        <f t="shared" si="4"/>
        <v>9372.11464</v>
      </c>
      <c r="I15" s="1045">
        <f t="shared" si="4"/>
        <v>9372.11464</v>
      </c>
      <c r="J15" s="1037"/>
    </row>
    <row r="16" ht="18.35" spans="2:10">
      <c r="B16" s="1038" t="s">
        <v>190</v>
      </c>
      <c r="C16" s="1036" t="s">
        <v>191</v>
      </c>
      <c r="D16" s="1027"/>
      <c r="E16" s="1037"/>
      <c r="F16" s="1037"/>
      <c r="G16" s="1037"/>
      <c r="H16" s="1039">
        <v>2658</v>
      </c>
      <c r="I16" s="1040">
        <f>SUM(E16:H16)</f>
        <v>2658</v>
      </c>
      <c r="J16" s="1037"/>
    </row>
    <row r="17" ht="18.35" spans="2:10">
      <c r="B17" s="1038" t="s">
        <v>192</v>
      </c>
      <c r="C17" s="1036" t="s">
        <v>193</v>
      </c>
      <c r="D17" s="1046">
        <v>0.0117</v>
      </c>
      <c r="E17" s="1037"/>
      <c r="F17" s="1037"/>
      <c r="G17" s="1037"/>
      <c r="H17" s="1047">
        <f>($E$6+$F$6+$G$6)*D17</f>
        <v>2964.1014</v>
      </c>
      <c r="I17" s="1040">
        <f t="shared" ref="I17:I24" si="5">SUM(E17:H17)</f>
        <v>2964.1014</v>
      </c>
      <c r="J17" s="1037"/>
    </row>
    <row r="18" ht="18.35" spans="2:10">
      <c r="B18" s="1038" t="s">
        <v>194</v>
      </c>
      <c r="C18" s="1036" t="s">
        <v>195</v>
      </c>
      <c r="D18" s="1046">
        <v>0.0043</v>
      </c>
      <c r="E18" s="1037"/>
      <c r="F18" s="1037"/>
      <c r="G18" s="1037"/>
      <c r="H18" s="1047">
        <f>($E$6+$F$6+$G$6)*D18</f>
        <v>1089.3706</v>
      </c>
      <c r="I18" s="1040">
        <f t="shared" si="5"/>
        <v>1089.3706</v>
      </c>
      <c r="J18" s="1037"/>
    </row>
    <row r="19" ht="18.35" spans="2:10">
      <c r="B19" s="1038" t="s">
        <v>196</v>
      </c>
      <c r="C19" s="1036" t="s">
        <v>197</v>
      </c>
      <c r="D19" s="1046">
        <v>0.0026</v>
      </c>
      <c r="E19" s="1037"/>
      <c r="F19" s="1037"/>
      <c r="G19" s="1037"/>
      <c r="H19" s="1047">
        <f>($E$6+$F$6+$G$6)*D19</f>
        <v>658.6892</v>
      </c>
      <c r="I19" s="1040">
        <f t="shared" si="5"/>
        <v>658.6892</v>
      </c>
      <c r="J19" s="1037"/>
    </row>
    <row r="20" ht="18.35" spans="2:10">
      <c r="B20" s="1038" t="s">
        <v>198</v>
      </c>
      <c r="C20" s="1036" t="s">
        <v>199</v>
      </c>
      <c r="D20" s="1046">
        <v>0.0015</v>
      </c>
      <c r="E20" s="1037"/>
      <c r="F20" s="1037"/>
      <c r="G20" s="1037"/>
      <c r="H20" s="1047">
        <f>($E$6+$F$6+$G$6)*D20</f>
        <v>380.013</v>
      </c>
      <c r="I20" s="1040">
        <f t="shared" si="5"/>
        <v>380.013</v>
      </c>
      <c r="J20" s="1037"/>
    </row>
    <row r="21" ht="18.35" spans="2:10">
      <c r="B21" s="1038" t="s">
        <v>200</v>
      </c>
      <c r="C21" s="1036" t="s">
        <v>201</v>
      </c>
      <c r="D21" s="1046">
        <v>0.0011</v>
      </c>
      <c r="E21" s="1037"/>
      <c r="F21" s="1037"/>
      <c r="G21" s="1037"/>
      <c r="H21" s="1047">
        <f>($E$6+$G$6)*D21</f>
        <v>195.03</v>
      </c>
      <c r="I21" s="1040">
        <f t="shared" si="5"/>
        <v>195.03</v>
      </c>
      <c r="J21" s="1037"/>
    </row>
    <row r="22" ht="18.35" spans="2:10">
      <c r="B22" s="1038" t="s">
        <v>202</v>
      </c>
      <c r="C22" s="1036" t="s">
        <v>203</v>
      </c>
      <c r="D22" s="1046">
        <v>0.0034</v>
      </c>
      <c r="E22" s="1037"/>
      <c r="F22" s="1037"/>
      <c r="G22" s="1037"/>
      <c r="H22" s="1047">
        <f>($E$6+$F$6+$G$6)*D22</f>
        <v>861.3628</v>
      </c>
      <c r="I22" s="1040">
        <f t="shared" si="5"/>
        <v>861.3628</v>
      </c>
      <c r="J22" s="1037"/>
    </row>
    <row r="23" ht="18.35" spans="2:10">
      <c r="B23" s="1038" t="s">
        <v>204</v>
      </c>
      <c r="C23" s="1036" t="s">
        <v>205</v>
      </c>
      <c r="D23" s="1046">
        <v>0.0021</v>
      </c>
      <c r="E23" s="1037"/>
      <c r="F23" s="1037"/>
      <c r="G23" s="1037"/>
      <c r="H23" s="1047">
        <f>($E$6+$F$6+$G$6)*D23</f>
        <v>532.0182</v>
      </c>
      <c r="I23" s="1040">
        <f t="shared" si="5"/>
        <v>532.0182</v>
      </c>
      <c r="J23" s="1037"/>
    </row>
    <row r="24" ht="18.35" spans="2:10">
      <c r="B24" s="1038" t="s">
        <v>206</v>
      </c>
      <c r="C24" s="1036" t="s">
        <v>207</v>
      </c>
      <c r="D24" s="1048"/>
      <c r="E24" s="1037"/>
      <c r="F24" s="1037"/>
      <c r="G24" s="1037"/>
      <c r="H24" s="1047">
        <f>假设及结论!K21</f>
        <v>33.52944</v>
      </c>
      <c r="I24" s="1040">
        <f t="shared" si="5"/>
        <v>33.52944</v>
      </c>
      <c r="J24" s="1037"/>
    </row>
    <row r="25" ht="18.35" spans="2:10">
      <c r="B25" s="982">
        <v>2.3</v>
      </c>
      <c r="C25" s="1036" t="s">
        <v>208</v>
      </c>
      <c r="D25" s="1046">
        <v>0.0054</v>
      </c>
      <c r="E25" s="1037"/>
      <c r="F25" s="1037"/>
      <c r="G25" s="1037"/>
      <c r="H25" s="1047">
        <f>($F$6)*D25</f>
        <v>410.6268</v>
      </c>
      <c r="I25" s="1040">
        <f t="shared" ref="I25:I31" si="6">SUM(E25:H25)</f>
        <v>410.6268</v>
      </c>
      <c r="J25" s="1037"/>
    </row>
    <row r="26" ht="18.35" spans="2:10">
      <c r="B26" s="982">
        <v>2.4</v>
      </c>
      <c r="C26" s="1036" t="s">
        <v>209</v>
      </c>
      <c r="D26" s="1046">
        <v>0.0077</v>
      </c>
      <c r="E26" s="1037"/>
      <c r="F26" s="1037"/>
      <c r="G26" s="1037"/>
      <c r="H26" s="1047">
        <f>($E$6+$F$6+$G$6)*D26</f>
        <v>1950.7334</v>
      </c>
      <c r="I26" s="1040">
        <f t="shared" si="6"/>
        <v>1950.7334</v>
      </c>
      <c r="J26" s="1037"/>
    </row>
    <row r="27" ht="18.35" spans="2:10">
      <c r="B27" s="1031">
        <v>3</v>
      </c>
      <c r="C27" s="1032" t="s">
        <v>210</v>
      </c>
      <c r="D27" s="1049"/>
      <c r="E27" s="1043"/>
      <c r="F27" s="1043"/>
      <c r="G27" s="1043"/>
      <c r="H27" s="1050">
        <f>H28</f>
        <v>15200.52</v>
      </c>
      <c r="I27" s="1050">
        <f>I28</f>
        <v>15200.52</v>
      </c>
      <c r="J27" s="1035">
        <f t="shared" ref="J27:J31" si="7">I27/$I$31</f>
        <v>0.0535906146293267</v>
      </c>
    </row>
    <row r="28" ht="18.35" spans="2:10">
      <c r="B28" s="1051">
        <v>3.1</v>
      </c>
      <c r="C28" s="1036" t="s">
        <v>211</v>
      </c>
      <c r="D28" s="1046">
        <v>0.06</v>
      </c>
      <c r="E28" s="1037"/>
      <c r="F28" s="1037"/>
      <c r="G28" s="1037"/>
      <c r="H28" s="1040">
        <f>($E$6+$F$6+$G$6)*D28</f>
        <v>15200.52</v>
      </c>
      <c r="I28" s="1040">
        <f t="shared" si="6"/>
        <v>15200.52</v>
      </c>
      <c r="J28" s="1037"/>
    </row>
    <row r="29" ht="18.35" spans="2:10">
      <c r="B29" s="1052">
        <v>4</v>
      </c>
      <c r="C29" s="1053" t="s">
        <v>212</v>
      </c>
      <c r="D29" s="1054"/>
      <c r="E29" s="1055">
        <f t="shared" ref="E29:I29" si="8">E6+E13+E27</f>
        <v>122140</v>
      </c>
      <c r="F29" s="1055">
        <f t="shared" si="8"/>
        <v>76042</v>
      </c>
      <c r="G29" s="1055">
        <f t="shared" si="8"/>
        <v>55160</v>
      </c>
      <c r="H29" s="1056">
        <f t="shared" si="8"/>
        <v>26983.99484</v>
      </c>
      <c r="I29" s="1056">
        <f t="shared" si="8"/>
        <v>280325.99484</v>
      </c>
      <c r="J29" s="1057"/>
    </row>
    <row r="30" ht="18.35" spans="2:10">
      <c r="B30" s="1051">
        <v>5</v>
      </c>
      <c r="C30" s="1036" t="s">
        <v>213</v>
      </c>
      <c r="D30" s="1027"/>
      <c r="E30" s="1037"/>
      <c r="F30" s="1037"/>
      <c r="G30" s="1037"/>
      <c r="H30" s="1047">
        <f>假设及结论!L7</f>
        <v>3315.46188032912</v>
      </c>
      <c r="I30" s="1040">
        <f t="shared" si="6"/>
        <v>3315.46188032912</v>
      </c>
      <c r="J30" s="1058">
        <f t="shared" si="7"/>
        <v>0.0116889185335068</v>
      </c>
    </row>
    <row r="31" ht="18.35" spans="2:10">
      <c r="B31" s="1051">
        <v>6</v>
      </c>
      <c r="C31" s="1036" t="s">
        <v>214</v>
      </c>
      <c r="D31" s="1027"/>
      <c r="E31" s="1041">
        <f t="shared" ref="E31:I31" si="9">E29+E30</f>
        <v>122140</v>
      </c>
      <c r="F31" s="1041">
        <f t="shared" si="9"/>
        <v>76042</v>
      </c>
      <c r="G31" s="1041">
        <f t="shared" si="9"/>
        <v>55160</v>
      </c>
      <c r="H31" s="1040">
        <f t="shared" si="9"/>
        <v>30299.4567203291</v>
      </c>
      <c r="I31" s="1040">
        <f t="shared" si="9"/>
        <v>283641.456720329</v>
      </c>
      <c r="J31" s="1058">
        <f t="shared" si="7"/>
        <v>1</v>
      </c>
    </row>
    <row r="32" ht="18.35" spans="2:10">
      <c r="B32" s="1059"/>
      <c r="C32" s="1036" t="s">
        <v>215</v>
      </c>
      <c r="D32" s="1027"/>
      <c r="E32" s="1037"/>
      <c r="F32" s="1037"/>
      <c r="G32" s="1037"/>
      <c r="H32" s="1037"/>
      <c r="I32" s="1040">
        <f>I29/假设及结论!$F$13</f>
        <v>3737.6799312</v>
      </c>
      <c r="J32" s="1037"/>
    </row>
    <row r="33" ht="18.35" spans="2:10">
      <c r="B33" s="1059"/>
      <c r="C33" s="1036" t="s">
        <v>216</v>
      </c>
      <c r="D33" s="1027"/>
      <c r="E33" s="1037"/>
      <c r="F33" s="1037"/>
      <c r="G33" s="1037"/>
      <c r="H33" s="1037"/>
      <c r="I33" s="1040">
        <f>I31/假设及结论!$F$13</f>
        <v>3781.88608960439</v>
      </c>
      <c r="J33" s="1037"/>
    </row>
    <row r="34" ht="18.35" spans="2:10">
      <c r="B34" s="1051">
        <v>7</v>
      </c>
      <c r="C34" s="1036" t="s">
        <v>217</v>
      </c>
      <c r="D34" s="1027"/>
      <c r="E34" s="1037"/>
      <c r="F34" s="1037"/>
      <c r="G34" s="1037"/>
      <c r="H34" s="1040">
        <f>假设及结论!B33</f>
        <v>1500</v>
      </c>
      <c r="I34" s="1040">
        <f t="shared" ref="I34:I36" si="10">SUM(E34:H34)</f>
        <v>1500</v>
      </c>
      <c r="J34" s="1037"/>
    </row>
    <row r="35" ht="18.35" spans="2:10">
      <c r="B35" s="1051">
        <v>8</v>
      </c>
      <c r="C35" s="1036" t="s">
        <v>218</v>
      </c>
      <c r="D35" s="1027"/>
      <c r="E35" s="1041">
        <f t="shared" ref="E35:I35" si="11">E31+E34</f>
        <v>122140</v>
      </c>
      <c r="F35" s="1041">
        <f t="shared" si="11"/>
        <v>76042</v>
      </c>
      <c r="G35" s="1041">
        <f t="shared" si="11"/>
        <v>55160</v>
      </c>
      <c r="H35" s="1040">
        <f t="shared" si="11"/>
        <v>31799.4567203291</v>
      </c>
      <c r="I35" s="1040">
        <f t="shared" si="11"/>
        <v>285141.456720329</v>
      </c>
      <c r="J35" s="1037"/>
    </row>
    <row r="36" ht="18.35" spans="2:10">
      <c r="B36" s="1059"/>
      <c r="C36" s="1036" t="s">
        <v>219</v>
      </c>
      <c r="D36" s="1027"/>
      <c r="E36" s="1060">
        <f t="shared" ref="E36:I36" si="12">E35/$I$35</f>
        <v>0.428348797136842</v>
      </c>
      <c r="F36" s="1060">
        <f t="shared" si="12"/>
        <v>0.266681670475518</v>
      </c>
      <c r="G36" s="1060">
        <f t="shared" si="12"/>
        <v>0.193447843868251</v>
      </c>
      <c r="H36" s="1060">
        <f t="shared" si="12"/>
        <v>0.111521688519388</v>
      </c>
      <c r="I36" s="1060">
        <f>SUM(E36:H36)</f>
        <v>1</v>
      </c>
      <c r="J36" s="1061"/>
    </row>
  </sheetData>
  <mergeCells count="9">
    <mergeCell ref="B3:B5"/>
    <mergeCell ref="C3:C5"/>
    <mergeCell ref="D3:D5"/>
    <mergeCell ref="E3:E4"/>
    <mergeCell ref="F3:F4"/>
    <mergeCell ref="G3:G4"/>
    <mergeCell ref="H3:H5"/>
    <mergeCell ref="I3:I5"/>
    <mergeCell ref="J3:J5"/>
  </mergeCell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G85"/>
  <sheetViews>
    <sheetView zoomScale="86" zoomScaleNormal="86" topLeftCell="A25" workbookViewId="0">
      <selection activeCell="I44" sqref="I44"/>
    </sheetView>
  </sheetViews>
  <sheetFormatPr defaultColWidth="9.0625" defaultRowHeight="17.6" outlineLevelCol="6"/>
  <cols>
    <col min="2" max="2" width="21.9375" style="1" customWidth="1"/>
    <col min="3" max="3" width="16" customWidth="1"/>
    <col min="4" max="4" width="25.1339285714286" style="999" customWidth="1"/>
    <col min="5" max="5" width="19.0267857142857" customWidth="1"/>
    <col min="6" max="6" width="15.0625" style="1000" customWidth="1"/>
    <col min="7" max="7" width="25" customWidth="1"/>
    <col min="9" max="9" width="11.5982142857143"/>
  </cols>
  <sheetData>
    <row r="2" ht="40" spans="2:7">
      <c r="B2" s="1001" t="s">
        <v>220</v>
      </c>
      <c r="C2" s="379"/>
      <c r="D2" s="763"/>
      <c r="E2" s="379"/>
      <c r="F2" s="966"/>
      <c r="G2" s="379"/>
    </row>
    <row r="3" spans="2:7">
      <c r="B3" s="1002" t="s">
        <v>61</v>
      </c>
      <c r="C3" s="1002" t="s">
        <v>221</v>
      </c>
      <c r="D3" s="1003" t="s">
        <v>222</v>
      </c>
      <c r="E3" s="1002" t="s">
        <v>223</v>
      </c>
      <c r="F3" s="1004" t="s">
        <v>224</v>
      </c>
      <c r="G3" s="1002" t="s">
        <v>64</v>
      </c>
    </row>
    <row r="4" spans="2:7">
      <c r="B4" s="1005">
        <v>1</v>
      </c>
      <c r="C4" s="1006" t="s">
        <v>225</v>
      </c>
      <c r="D4" s="1007" t="str">
        <f>"光伏组件（共 "&amp;TEXT(ROUNDUP(假设及结论!F13*10^7/MID(G4,7,3),0),"###,#0")&amp;" 块）"</f>
        <v>光伏组件（共 1,041,667 块）</v>
      </c>
      <c r="E4" s="1008">
        <v>576</v>
      </c>
      <c r="F4" s="1009">
        <f>INT(MID(D4,7,11))*E4</f>
        <v>600000192</v>
      </c>
      <c r="G4" s="1010" t="s">
        <v>226</v>
      </c>
    </row>
    <row r="5" spans="2:7">
      <c r="B5" s="1005">
        <v>2</v>
      </c>
      <c r="C5" s="1006" t="s">
        <v>227</v>
      </c>
      <c r="D5" s="1011" t="s">
        <v>228</v>
      </c>
      <c r="E5" s="1012">
        <v>1000000</v>
      </c>
      <c r="F5" s="1009">
        <v>100000000</v>
      </c>
      <c r="G5" s="1010" t="s">
        <v>229</v>
      </c>
    </row>
    <row r="6" spans="2:7">
      <c r="B6" s="1005">
        <v>3</v>
      </c>
      <c r="C6" s="1006" t="s">
        <v>230</v>
      </c>
      <c r="D6" s="1011" t="s">
        <v>231</v>
      </c>
      <c r="E6" s="1013">
        <v>200000</v>
      </c>
      <c r="F6" s="1009">
        <v>80000000</v>
      </c>
      <c r="G6" s="1010" t="s">
        <v>232</v>
      </c>
    </row>
    <row r="7" spans="2:7">
      <c r="B7" s="1005">
        <v>4</v>
      </c>
      <c r="C7" s="1006" t="s">
        <v>233</v>
      </c>
      <c r="D7" s="1014">
        <v>1083334</v>
      </c>
      <c r="E7" s="1010">
        <v>143</v>
      </c>
      <c r="F7" s="1009">
        <f t="shared" ref="F7:F9" si="0">D7*E7</f>
        <v>154916762</v>
      </c>
      <c r="G7" s="1010" t="s">
        <v>234</v>
      </c>
    </row>
    <row r="8" spans="2:7">
      <c r="B8" s="1005">
        <v>5</v>
      </c>
      <c r="C8" s="1006" t="s">
        <v>235</v>
      </c>
      <c r="D8" s="1014">
        <v>10</v>
      </c>
      <c r="E8" s="1015">
        <v>100000</v>
      </c>
      <c r="F8" s="1009">
        <f t="shared" si="0"/>
        <v>1000000</v>
      </c>
      <c r="G8" s="1010" t="s">
        <v>236</v>
      </c>
    </row>
    <row r="9" spans="2:7">
      <c r="B9" s="1005">
        <v>6</v>
      </c>
      <c r="C9" s="1006" t="s">
        <v>237</v>
      </c>
      <c r="D9" s="1016">
        <v>400</v>
      </c>
      <c r="E9" s="1013">
        <v>5000</v>
      </c>
      <c r="F9" s="1009">
        <f t="shared" si="0"/>
        <v>2000000</v>
      </c>
      <c r="G9" s="1010" t="s">
        <v>238</v>
      </c>
    </row>
    <row r="10" spans="2:7">
      <c r="B10" s="1005">
        <v>7</v>
      </c>
      <c r="C10" s="1006" t="s">
        <v>239</v>
      </c>
      <c r="D10" s="1017">
        <v>1</v>
      </c>
      <c r="E10" s="1015">
        <v>500000</v>
      </c>
      <c r="F10" s="1009">
        <v>500000</v>
      </c>
      <c r="G10" s="1010" t="s">
        <v>240</v>
      </c>
    </row>
    <row r="11" spans="2:7">
      <c r="B11" s="1005">
        <v>8</v>
      </c>
      <c r="C11" s="1006" t="s">
        <v>241</v>
      </c>
      <c r="D11" s="1018">
        <v>500000</v>
      </c>
      <c r="E11" s="1019">
        <v>100</v>
      </c>
      <c r="F11" s="1009">
        <v>50000000</v>
      </c>
      <c r="G11" s="1010" t="s">
        <v>242</v>
      </c>
    </row>
    <row r="12" spans="2:7">
      <c r="B12" s="1002" t="s">
        <v>243</v>
      </c>
      <c r="C12" s="1010" t="s">
        <v>244</v>
      </c>
      <c r="D12" s="1011" t="s">
        <v>244</v>
      </c>
      <c r="E12" s="1010" t="s">
        <v>244</v>
      </c>
      <c r="F12" s="1020">
        <f>SUM(F4:F11)</f>
        <v>988416954</v>
      </c>
      <c r="G12" s="1010" t="s">
        <v>244</v>
      </c>
    </row>
    <row r="14" ht="32" spans="2:7">
      <c r="B14" s="1002" t="s">
        <v>245</v>
      </c>
      <c r="C14" s="1006"/>
      <c r="D14" s="1011"/>
      <c r="E14" s="1010"/>
      <c r="F14" s="1009"/>
      <c r="G14" s="1010"/>
    </row>
    <row r="15" spans="2:7">
      <c r="B15" s="1005" t="s">
        <v>61</v>
      </c>
      <c r="C15" s="1006" t="s">
        <v>221</v>
      </c>
      <c r="D15" s="1011" t="s">
        <v>222</v>
      </c>
      <c r="E15" s="1010" t="s">
        <v>223</v>
      </c>
      <c r="F15" s="1009" t="s">
        <v>224</v>
      </c>
      <c r="G15" s="1010" t="s">
        <v>64</v>
      </c>
    </row>
    <row r="16" ht="32" spans="2:7">
      <c r="B16" s="1005">
        <v>1</v>
      </c>
      <c r="C16" s="1006" t="s">
        <v>246</v>
      </c>
      <c r="D16" s="1011" t="s">
        <v>247</v>
      </c>
      <c r="E16" s="1010" t="s">
        <v>248</v>
      </c>
      <c r="F16" s="1009">
        <v>30000000</v>
      </c>
      <c r="G16" s="1010" t="s">
        <v>249</v>
      </c>
    </row>
    <row r="17" spans="2:7">
      <c r="B17" s="1005">
        <v>2</v>
      </c>
      <c r="C17" s="1006" t="s">
        <v>250</v>
      </c>
      <c r="D17" s="1011" t="s">
        <v>251</v>
      </c>
      <c r="E17" s="1010" t="s">
        <v>252</v>
      </c>
      <c r="F17" s="1009">
        <v>6000000</v>
      </c>
      <c r="G17" s="1010" t="s">
        <v>253</v>
      </c>
    </row>
    <row r="18" spans="2:7">
      <c r="B18" s="1005">
        <v>3</v>
      </c>
      <c r="C18" s="1006" t="s">
        <v>254</v>
      </c>
      <c r="D18" s="1011" t="s">
        <v>255</v>
      </c>
      <c r="E18" s="1010" t="s">
        <v>256</v>
      </c>
      <c r="F18" s="1009">
        <v>4000000</v>
      </c>
      <c r="G18" s="1010" t="s">
        <v>257</v>
      </c>
    </row>
    <row r="19" spans="2:7">
      <c r="B19" s="1005">
        <v>4</v>
      </c>
      <c r="C19" s="1006" t="s">
        <v>258</v>
      </c>
      <c r="D19" s="1011" t="s">
        <v>259</v>
      </c>
      <c r="E19" s="1010" t="s">
        <v>260</v>
      </c>
      <c r="F19" s="1009">
        <v>2000000</v>
      </c>
      <c r="G19" s="1010" t="s">
        <v>261</v>
      </c>
    </row>
    <row r="20" spans="2:7">
      <c r="B20" s="1005">
        <v>5</v>
      </c>
      <c r="C20" s="1006" t="s">
        <v>262</v>
      </c>
      <c r="D20" s="1011" t="s">
        <v>259</v>
      </c>
      <c r="E20" s="1010" t="s">
        <v>263</v>
      </c>
      <c r="F20" s="1009">
        <v>3000000</v>
      </c>
      <c r="G20" s="1010" t="s">
        <v>264</v>
      </c>
    </row>
    <row r="21" spans="2:7">
      <c r="B21" s="1005">
        <v>6</v>
      </c>
      <c r="C21" s="1006" t="s">
        <v>265</v>
      </c>
      <c r="D21" s="1011" t="s">
        <v>266</v>
      </c>
      <c r="E21" s="1010" t="s">
        <v>267</v>
      </c>
      <c r="F21" s="1009">
        <v>2000000</v>
      </c>
      <c r="G21" s="1010" t="s">
        <v>268</v>
      </c>
    </row>
    <row r="22" spans="2:7">
      <c r="B22" s="1005">
        <v>7</v>
      </c>
      <c r="C22" s="1006" t="s">
        <v>269</v>
      </c>
      <c r="D22" s="1011" t="s">
        <v>266</v>
      </c>
      <c r="E22" s="1010" t="s">
        <v>270</v>
      </c>
      <c r="F22" s="1009">
        <v>1500000</v>
      </c>
      <c r="G22" s="1010" t="s">
        <v>271</v>
      </c>
    </row>
    <row r="23" spans="2:7">
      <c r="B23" s="1005">
        <v>8</v>
      </c>
      <c r="C23" s="1006" t="s">
        <v>235</v>
      </c>
      <c r="D23" s="1011" t="s">
        <v>266</v>
      </c>
      <c r="E23" s="1010" t="s">
        <v>272</v>
      </c>
      <c r="F23" s="1009">
        <v>1000000</v>
      </c>
      <c r="G23" s="1010" t="s">
        <v>273</v>
      </c>
    </row>
    <row r="24" spans="2:7">
      <c r="B24" s="1005">
        <v>9</v>
      </c>
      <c r="C24" s="1006" t="s">
        <v>274</v>
      </c>
      <c r="D24" s="1011" t="s">
        <v>266</v>
      </c>
      <c r="E24" s="1010" t="s">
        <v>275</v>
      </c>
      <c r="F24" s="1009">
        <v>500000</v>
      </c>
      <c r="G24" s="1010" t="s">
        <v>276</v>
      </c>
    </row>
    <row r="25" spans="2:7">
      <c r="B25" s="1005">
        <v>10</v>
      </c>
      <c r="C25" s="1006" t="s">
        <v>277</v>
      </c>
      <c r="D25" s="1011" t="s">
        <v>266</v>
      </c>
      <c r="E25" s="1010" t="s">
        <v>278</v>
      </c>
      <c r="F25" s="1009">
        <v>800000</v>
      </c>
      <c r="G25" s="1010" t="s">
        <v>279</v>
      </c>
    </row>
    <row r="26" spans="2:7">
      <c r="B26" s="1005" t="s">
        <v>243</v>
      </c>
      <c r="C26" s="1006" t="s">
        <v>244</v>
      </c>
      <c r="D26" s="1011" t="s">
        <v>244</v>
      </c>
      <c r="E26" s="1010" t="s">
        <v>244</v>
      </c>
      <c r="F26" s="1009">
        <f>SUM(F16:F25)</f>
        <v>50800000</v>
      </c>
      <c r="G26" s="1010" t="s">
        <v>244</v>
      </c>
    </row>
    <row r="27" spans="2:7">
      <c r="B27" s="1005"/>
      <c r="C27" s="1006"/>
      <c r="D27" s="1011"/>
      <c r="E27" s="1010"/>
      <c r="F27" s="1009"/>
      <c r="G27" s="1010"/>
    </row>
    <row r="29" ht="20" spans="2:7">
      <c r="B29" s="1021" t="s">
        <v>280</v>
      </c>
      <c r="C29" s="379"/>
      <c r="D29" s="763"/>
      <c r="E29" s="379"/>
      <c r="F29" s="966"/>
      <c r="G29" s="379"/>
    </row>
    <row r="30" spans="2:7">
      <c r="B30" s="1005" t="s">
        <v>61</v>
      </c>
      <c r="C30" s="1006" t="s">
        <v>281</v>
      </c>
      <c r="D30" s="1011" t="s">
        <v>222</v>
      </c>
      <c r="E30" s="1010" t="s">
        <v>223</v>
      </c>
      <c r="F30" s="1009" t="s">
        <v>224</v>
      </c>
      <c r="G30" s="1010" t="s">
        <v>64</v>
      </c>
    </row>
    <row r="31" spans="2:7">
      <c r="B31" s="1005">
        <v>1</v>
      </c>
      <c r="C31" s="1006" t="s">
        <v>282</v>
      </c>
      <c r="D31" s="1011" t="s">
        <v>283</v>
      </c>
      <c r="E31" s="1010" t="s">
        <v>284</v>
      </c>
      <c r="F31" s="1009">
        <v>184905000</v>
      </c>
      <c r="G31" s="1010" t="s">
        <v>285</v>
      </c>
    </row>
    <row r="32" spans="2:7">
      <c r="B32" s="1005">
        <v>2</v>
      </c>
      <c r="C32" s="1006" t="s">
        <v>286</v>
      </c>
      <c r="D32" s="1011" t="s">
        <v>287</v>
      </c>
      <c r="E32" s="1010" t="s">
        <v>288</v>
      </c>
      <c r="F32" s="1009">
        <v>866667200</v>
      </c>
      <c r="G32" s="1010" t="s">
        <v>289</v>
      </c>
    </row>
    <row r="33" spans="2:7">
      <c r="B33" s="1005">
        <v>3</v>
      </c>
      <c r="C33" s="1006" t="s">
        <v>290</v>
      </c>
      <c r="D33" s="1011" t="s">
        <v>291</v>
      </c>
      <c r="E33" s="1010" t="s">
        <v>292</v>
      </c>
      <c r="F33" s="1009">
        <v>60000000</v>
      </c>
      <c r="G33" s="1010" t="s">
        <v>293</v>
      </c>
    </row>
    <row r="34" spans="2:7">
      <c r="B34" s="1005">
        <v>4</v>
      </c>
      <c r="C34" s="1006" t="s">
        <v>294</v>
      </c>
      <c r="D34" s="1011" t="s">
        <v>295</v>
      </c>
      <c r="E34" s="1010" t="s">
        <v>296</v>
      </c>
      <c r="F34" s="1009">
        <v>7500000</v>
      </c>
      <c r="G34" s="1010" t="s">
        <v>297</v>
      </c>
    </row>
    <row r="35" ht="32" spans="2:7">
      <c r="B35" s="1005">
        <v>5</v>
      </c>
      <c r="C35" s="1006" t="s">
        <v>298</v>
      </c>
      <c r="D35" s="1011" t="s">
        <v>299</v>
      </c>
      <c r="E35" s="1010" t="s">
        <v>300</v>
      </c>
      <c r="F35" s="1009">
        <v>2000000</v>
      </c>
      <c r="G35" s="1010" t="s">
        <v>301</v>
      </c>
    </row>
    <row r="36" spans="2:7">
      <c r="B36" s="1005">
        <v>6</v>
      </c>
      <c r="C36" s="1006" t="s">
        <v>302</v>
      </c>
      <c r="D36" s="1011" t="s">
        <v>303</v>
      </c>
      <c r="E36" s="1010" t="s">
        <v>304</v>
      </c>
      <c r="F36" s="1009">
        <v>3000</v>
      </c>
      <c r="G36" s="1010" t="s">
        <v>305</v>
      </c>
    </row>
    <row r="37" spans="2:7">
      <c r="B37" s="1005">
        <v>7</v>
      </c>
      <c r="C37" s="1006" t="s">
        <v>306</v>
      </c>
      <c r="D37" s="1011" t="s">
        <v>307</v>
      </c>
      <c r="E37" s="1010" t="s">
        <v>308</v>
      </c>
      <c r="F37" s="1009">
        <f>F26</f>
        <v>50800000</v>
      </c>
      <c r="G37" s="1010" t="s">
        <v>309</v>
      </c>
    </row>
    <row r="38" spans="2:7">
      <c r="B38" s="1005">
        <v>8</v>
      </c>
      <c r="C38" s="1006" t="s">
        <v>310</v>
      </c>
      <c r="D38" s="1011" t="s">
        <v>311</v>
      </c>
      <c r="E38" s="1010" t="s">
        <v>312</v>
      </c>
      <c r="F38" s="1009">
        <v>80000000</v>
      </c>
      <c r="G38" s="1010" t="s">
        <v>313</v>
      </c>
    </row>
    <row r="39" spans="2:7">
      <c r="B39" s="1005">
        <v>9</v>
      </c>
      <c r="C39" s="1006" t="s">
        <v>314</v>
      </c>
      <c r="D39" s="1011" t="s">
        <v>244</v>
      </c>
      <c r="E39" s="1010" t="s">
        <v>244</v>
      </c>
      <c r="F39" s="1009">
        <v>50000</v>
      </c>
      <c r="G39" s="1010" t="s">
        <v>315</v>
      </c>
    </row>
    <row r="40" spans="2:7">
      <c r="B40" s="1005" t="s">
        <v>243</v>
      </c>
      <c r="C40" s="1006" t="s">
        <v>244</v>
      </c>
      <c r="D40" s="1011" t="s">
        <v>244</v>
      </c>
      <c r="E40" s="1010" t="s">
        <v>244</v>
      </c>
      <c r="F40" s="1009">
        <f>SUM(F31:F39)</f>
        <v>1251925200</v>
      </c>
      <c r="G40" s="1010" t="s">
        <v>244</v>
      </c>
    </row>
    <row r="41" spans="2:7">
      <c r="B41" s="1005"/>
      <c r="C41" s="1006"/>
      <c r="D41" s="1011"/>
      <c r="E41" s="1010"/>
      <c r="F41" s="1009"/>
      <c r="G41" s="1010"/>
    </row>
    <row r="42" spans="2:7">
      <c r="B42" s="1005"/>
      <c r="C42" s="1006"/>
      <c r="D42" s="1011"/>
      <c r="E42" s="1010"/>
      <c r="F42" s="1009"/>
      <c r="G42" s="1010"/>
    </row>
    <row r="43" spans="2:7">
      <c r="B43" s="1002" t="s">
        <v>316</v>
      </c>
      <c r="C43" s="1006"/>
      <c r="D43" s="1011"/>
      <c r="E43" s="1010"/>
      <c r="F43" s="1009"/>
      <c r="G43" s="1010"/>
    </row>
    <row r="44" spans="2:7">
      <c r="B44" s="1005" t="s">
        <v>61</v>
      </c>
      <c r="C44" s="1006" t="s">
        <v>281</v>
      </c>
      <c r="D44" s="1011" t="s">
        <v>222</v>
      </c>
      <c r="E44" s="1010" t="s">
        <v>223</v>
      </c>
      <c r="F44" s="1009" t="s">
        <v>224</v>
      </c>
      <c r="G44" s="1010" t="s">
        <v>64</v>
      </c>
    </row>
    <row r="45" spans="2:7">
      <c r="B45" s="1005">
        <v>1</v>
      </c>
      <c r="C45" s="1006" t="s">
        <v>317</v>
      </c>
      <c r="D45" s="1011" t="s">
        <v>318</v>
      </c>
      <c r="E45" s="1010" t="s">
        <v>319</v>
      </c>
      <c r="F45" s="1009">
        <v>325000200</v>
      </c>
      <c r="G45" s="1010" t="s">
        <v>320</v>
      </c>
    </row>
    <row r="46" spans="2:7">
      <c r="B46" s="1005">
        <v>2</v>
      </c>
      <c r="C46" s="1006" t="s">
        <v>321</v>
      </c>
      <c r="D46" s="1011" t="s">
        <v>322</v>
      </c>
      <c r="E46" s="1010" t="s">
        <v>323</v>
      </c>
      <c r="F46" s="1009">
        <v>1625001100</v>
      </c>
      <c r="G46" s="1010" t="s">
        <v>234</v>
      </c>
    </row>
    <row r="47" spans="2:7">
      <c r="B47" s="1005">
        <v>3</v>
      </c>
      <c r="C47" s="1006" t="s">
        <v>324</v>
      </c>
      <c r="D47" s="1011" t="s">
        <v>325</v>
      </c>
      <c r="E47" s="1010" t="s">
        <v>326</v>
      </c>
      <c r="F47" s="1009">
        <v>5000000</v>
      </c>
      <c r="G47" s="1010" t="s">
        <v>327</v>
      </c>
    </row>
    <row r="48" spans="2:7">
      <c r="B48" s="1005">
        <v>4</v>
      </c>
      <c r="C48" s="1006" t="s">
        <v>328</v>
      </c>
      <c r="D48" s="1011" t="s">
        <v>329</v>
      </c>
      <c r="E48" s="1010" t="s">
        <v>330</v>
      </c>
      <c r="F48" s="1009">
        <v>4000000</v>
      </c>
      <c r="G48" s="1010" t="s">
        <v>331</v>
      </c>
    </row>
    <row r="49" spans="2:7">
      <c r="B49" s="1005">
        <v>5</v>
      </c>
      <c r="C49" s="1006" t="s">
        <v>332</v>
      </c>
      <c r="D49" s="1011" t="s">
        <v>333</v>
      </c>
      <c r="E49" s="1010" t="s">
        <v>334</v>
      </c>
      <c r="F49" s="1009">
        <v>25000000</v>
      </c>
      <c r="G49" s="1010" t="s">
        <v>242</v>
      </c>
    </row>
    <row r="50" spans="2:7">
      <c r="B50" s="1005">
        <v>6</v>
      </c>
      <c r="C50" s="1006" t="s">
        <v>335</v>
      </c>
      <c r="D50" s="1011" t="s">
        <v>336</v>
      </c>
      <c r="E50" s="1010" t="s">
        <v>337</v>
      </c>
      <c r="F50" s="1009">
        <v>50000</v>
      </c>
      <c r="G50" s="1010" t="s">
        <v>236</v>
      </c>
    </row>
    <row r="51" spans="2:7">
      <c r="B51" s="1005">
        <v>7</v>
      </c>
      <c r="C51" s="1006" t="s">
        <v>338</v>
      </c>
      <c r="D51" s="1011" t="s">
        <v>339</v>
      </c>
      <c r="E51" s="1010" t="s">
        <v>340</v>
      </c>
      <c r="F51" s="1009">
        <v>800000</v>
      </c>
      <c r="G51" s="1010" t="s">
        <v>238</v>
      </c>
    </row>
    <row r="52" spans="2:7">
      <c r="B52" s="1005">
        <v>8</v>
      </c>
      <c r="C52" s="1006" t="s">
        <v>341</v>
      </c>
      <c r="D52" s="1011" t="s">
        <v>342</v>
      </c>
      <c r="E52" s="1010" t="s">
        <v>343</v>
      </c>
      <c r="F52" s="1009">
        <v>50000</v>
      </c>
      <c r="G52" s="1010" t="s">
        <v>240</v>
      </c>
    </row>
    <row r="53" spans="2:7">
      <c r="B53" s="1005">
        <v>9</v>
      </c>
      <c r="C53" s="1006" t="s">
        <v>344</v>
      </c>
      <c r="D53" s="1011" t="s">
        <v>244</v>
      </c>
      <c r="E53" s="1010" t="s">
        <v>244</v>
      </c>
      <c r="F53" s="1009">
        <v>50000</v>
      </c>
      <c r="G53" s="1010" t="s">
        <v>315</v>
      </c>
    </row>
    <row r="54" spans="2:7">
      <c r="B54" s="1005" t="s">
        <v>243</v>
      </c>
      <c r="C54" s="1006" t="s">
        <v>244</v>
      </c>
      <c r="D54" s="1011" t="s">
        <v>244</v>
      </c>
      <c r="E54" s="1010" t="s">
        <v>244</v>
      </c>
      <c r="F54" s="1009">
        <f>SUM(F45:F53)</f>
        <v>1984951300</v>
      </c>
      <c r="G54" s="1010" t="s">
        <v>244</v>
      </c>
    </row>
    <row r="55" spans="2:7">
      <c r="B55" s="1005"/>
      <c r="C55" s="1006"/>
      <c r="D55" s="1011"/>
      <c r="E55" s="1010"/>
      <c r="F55" s="1009"/>
      <c r="G55" s="1010"/>
    </row>
    <row r="56" spans="2:7">
      <c r="B56" s="1005"/>
      <c r="C56" s="1006"/>
      <c r="D56" s="1011"/>
      <c r="E56" s="1010"/>
      <c r="F56" s="1009"/>
      <c r="G56" s="1010"/>
    </row>
    <row r="57" spans="2:7">
      <c r="B57" s="1005"/>
      <c r="C57" s="1006"/>
      <c r="D57" s="1011"/>
      <c r="E57" s="1010"/>
      <c r="F57" s="1009"/>
      <c r="G57" s="1010"/>
    </row>
    <row r="58" spans="2:7">
      <c r="B58" s="1005"/>
      <c r="C58" s="1006"/>
      <c r="D58" s="1011"/>
      <c r="E58" s="1010"/>
      <c r="F58" s="1009"/>
      <c r="G58" s="1010"/>
    </row>
    <row r="59" spans="2:7">
      <c r="B59" s="1005" t="s">
        <v>345</v>
      </c>
      <c r="C59" s="1006"/>
      <c r="D59" s="1011"/>
      <c r="E59" s="1010"/>
      <c r="F59" s="1009"/>
      <c r="G59" s="1010"/>
    </row>
    <row r="60" spans="2:7">
      <c r="B60" s="1005" t="s">
        <v>61</v>
      </c>
      <c r="C60" s="1006" t="s">
        <v>281</v>
      </c>
      <c r="D60" s="1011" t="s">
        <v>222</v>
      </c>
      <c r="E60" s="1010" t="s">
        <v>223</v>
      </c>
      <c r="F60" s="1009" t="s">
        <v>224</v>
      </c>
      <c r="G60" s="1010" t="s">
        <v>64</v>
      </c>
    </row>
    <row r="61" spans="2:7">
      <c r="B61" s="1005">
        <v>1</v>
      </c>
      <c r="C61" s="1006" t="s">
        <v>346</v>
      </c>
      <c r="D61" s="1011" t="s">
        <v>347</v>
      </c>
      <c r="E61" s="1010" t="s">
        <v>348</v>
      </c>
      <c r="F61" s="1009">
        <v>5000000</v>
      </c>
      <c r="G61" s="1010" t="s">
        <v>349</v>
      </c>
    </row>
    <row r="62" spans="2:7">
      <c r="B62" s="1005">
        <v>2</v>
      </c>
      <c r="C62" s="1006" t="s">
        <v>286</v>
      </c>
      <c r="D62" s="1011" t="s">
        <v>350</v>
      </c>
      <c r="E62" s="1010" t="s">
        <v>351</v>
      </c>
      <c r="F62" s="1009">
        <v>10000000</v>
      </c>
      <c r="G62" s="1010" t="s">
        <v>352</v>
      </c>
    </row>
    <row r="63" spans="2:7">
      <c r="B63" s="1005">
        <v>3</v>
      </c>
      <c r="C63" s="1006" t="s">
        <v>353</v>
      </c>
      <c r="D63" s="1011" t="s">
        <v>244</v>
      </c>
      <c r="E63" s="1010" t="s">
        <v>244</v>
      </c>
      <c r="F63" s="1009">
        <v>15000000</v>
      </c>
      <c r="G63" s="1010" t="s">
        <v>354</v>
      </c>
    </row>
    <row r="64" spans="2:7">
      <c r="B64" s="1005">
        <v>4</v>
      </c>
      <c r="C64" s="1006" t="s">
        <v>332</v>
      </c>
      <c r="D64" s="1011" t="s">
        <v>355</v>
      </c>
      <c r="E64" s="1010" t="s">
        <v>356</v>
      </c>
      <c r="F64" s="1009">
        <v>1000000</v>
      </c>
      <c r="G64" s="1010" t="s">
        <v>357</v>
      </c>
    </row>
    <row r="65" spans="2:7">
      <c r="B65" s="1005">
        <v>5</v>
      </c>
      <c r="C65" s="1006" t="s">
        <v>358</v>
      </c>
      <c r="D65" s="1011" t="s">
        <v>266</v>
      </c>
      <c r="E65" s="1010" t="s">
        <v>275</v>
      </c>
      <c r="F65" s="1009">
        <v>500000</v>
      </c>
      <c r="G65" s="1010" t="s">
        <v>359</v>
      </c>
    </row>
    <row r="66" spans="2:7">
      <c r="B66" s="1005">
        <v>6</v>
      </c>
      <c r="C66" s="1006" t="s">
        <v>360</v>
      </c>
      <c r="D66" s="1011" t="s">
        <v>266</v>
      </c>
      <c r="E66" s="1010" t="s">
        <v>278</v>
      </c>
      <c r="F66" s="1009">
        <v>800000</v>
      </c>
      <c r="G66" s="1010" t="s">
        <v>361</v>
      </c>
    </row>
    <row r="67" spans="2:7">
      <c r="B67" s="1005">
        <v>7</v>
      </c>
      <c r="C67" s="1006" t="s">
        <v>274</v>
      </c>
      <c r="D67" s="1011" t="s">
        <v>266</v>
      </c>
      <c r="E67" s="1010" t="s">
        <v>275</v>
      </c>
      <c r="F67" s="1009">
        <v>500000</v>
      </c>
      <c r="G67" s="1010" t="s">
        <v>276</v>
      </c>
    </row>
    <row r="68" spans="2:7">
      <c r="B68" s="1005">
        <v>8</v>
      </c>
      <c r="C68" s="1006" t="s">
        <v>277</v>
      </c>
      <c r="D68" s="1011" t="s">
        <v>266</v>
      </c>
      <c r="E68" s="1010" t="s">
        <v>278</v>
      </c>
      <c r="F68" s="1009">
        <v>800000</v>
      </c>
      <c r="G68" s="1010" t="s">
        <v>279</v>
      </c>
    </row>
    <row r="69" spans="2:7">
      <c r="B69" s="1005">
        <v>9</v>
      </c>
      <c r="C69" s="1006" t="s">
        <v>314</v>
      </c>
      <c r="D69" s="1011" t="s">
        <v>244</v>
      </c>
      <c r="E69" s="1010" t="s">
        <v>244</v>
      </c>
      <c r="F69" s="1009">
        <v>1000000</v>
      </c>
      <c r="G69" s="1010" t="s">
        <v>362</v>
      </c>
    </row>
    <row r="70" spans="2:7">
      <c r="B70" s="1005" t="s">
        <v>243</v>
      </c>
      <c r="C70" s="1006" t="s">
        <v>244</v>
      </c>
      <c r="D70" s="1011" t="s">
        <v>244</v>
      </c>
      <c r="E70" s="1010" t="s">
        <v>244</v>
      </c>
      <c r="F70" s="1009">
        <f>SUM(F61:F69)</f>
        <v>34600000</v>
      </c>
      <c r="G70" s="1010"/>
    </row>
    <row r="71" spans="2:7">
      <c r="B71" s="1005"/>
      <c r="C71" s="1006"/>
      <c r="D71" s="1011"/>
      <c r="E71" s="1010"/>
      <c r="F71" s="1009"/>
      <c r="G71" s="1010"/>
    </row>
    <row r="72" spans="2:7">
      <c r="B72" s="1005"/>
      <c r="C72" s="1006"/>
      <c r="D72" s="1011"/>
      <c r="E72" s="1010"/>
      <c r="F72" s="1009"/>
      <c r="G72" s="1010"/>
    </row>
    <row r="73" spans="2:7">
      <c r="B73" s="1005" t="s">
        <v>363</v>
      </c>
      <c r="C73" s="1006"/>
      <c r="D73" s="1011"/>
      <c r="E73" s="1010"/>
      <c r="F73" s="1009"/>
      <c r="G73" s="1010"/>
    </row>
    <row r="74" spans="2:7">
      <c r="B74" s="1005" t="s">
        <v>61</v>
      </c>
      <c r="C74" s="1006" t="s">
        <v>364</v>
      </c>
      <c r="D74" s="1011" t="s">
        <v>222</v>
      </c>
      <c r="E74" s="1010" t="s">
        <v>223</v>
      </c>
      <c r="F74" s="1009" t="s">
        <v>224</v>
      </c>
      <c r="G74" s="1010" t="s">
        <v>64</v>
      </c>
    </row>
    <row r="75" spans="2:7">
      <c r="B75" s="1005">
        <v>1</v>
      </c>
      <c r="C75" s="1006" t="s">
        <v>365</v>
      </c>
      <c r="D75" s="1011" t="s">
        <v>247</v>
      </c>
      <c r="E75" s="1010" t="s">
        <v>366</v>
      </c>
      <c r="F75" s="1009">
        <v>4000000</v>
      </c>
      <c r="G75" s="1010" t="s">
        <v>367</v>
      </c>
    </row>
    <row r="76" spans="2:7">
      <c r="B76" s="1005">
        <v>2</v>
      </c>
      <c r="C76" s="1006" t="s">
        <v>368</v>
      </c>
      <c r="D76" s="1011" t="s">
        <v>251</v>
      </c>
      <c r="E76" s="1010" t="s">
        <v>256</v>
      </c>
      <c r="F76" s="1009">
        <v>2000000</v>
      </c>
      <c r="G76" s="1010" t="s">
        <v>369</v>
      </c>
    </row>
    <row r="77" spans="2:7">
      <c r="B77" s="1005">
        <v>3</v>
      </c>
      <c r="C77" s="1006" t="s">
        <v>370</v>
      </c>
      <c r="D77" s="1011" t="s">
        <v>255</v>
      </c>
      <c r="E77" s="1010" t="s">
        <v>371</v>
      </c>
      <c r="F77" s="1009">
        <v>1600000</v>
      </c>
      <c r="G77" s="1010" t="s">
        <v>372</v>
      </c>
    </row>
    <row r="78" spans="2:7">
      <c r="B78" s="1005">
        <v>4</v>
      </c>
      <c r="C78" s="1006" t="s">
        <v>373</v>
      </c>
      <c r="D78" s="1011" t="s">
        <v>259</v>
      </c>
      <c r="E78" s="1010" t="s">
        <v>374</v>
      </c>
      <c r="F78" s="1009">
        <v>1000000</v>
      </c>
      <c r="G78" s="1010" t="s">
        <v>375</v>
      </c>
    </row>
    <row r="79" spans="2:7">
      <c r="B79" s="1005">
        <v>5</v>
      </c>
      <c r="C79" s="1006" t="s">
        <v>376</v>
      </c>
      <c r="D79" s="1011" t="s">
        <v>259</v>
      </c>
      <c r="E79" s="1010" t="s">
        <v>377</v>
      </c>
      <c r="F79" s="1009">
        <v>1500000</v>
      </c>
      <c r="G79" s="1010" t="s">
        <v>378</v>
      </c>
    </row>
    <row r="80" spans="2:7">
      <c r="B80" s="1005">
        <v>6</v>
      </c>
      <c r="C80" s="1006" t="s">
        <v>379</v>
      </c>
      <c r="D80" s="1011" t="s">
        <v>266</v>
      </c>
      <c r="E80" s="1010" t="s">
        <v>275</v>
      </c>
      <c r="F80" s="1009">
        <v>500000</v>
      </c>
      <c r="G80" s="1010" t="s">
        <v>380</v>
      </c>
    </row>
    <row r="81" spans="2:7">
      <c r="B81" s="1005">
        <v>7</v>
      </c>
      <c r="C81" s="1006" t="s">
        <v>381</v>
      </c>
      <c r="D81" s="1011" t="s">
        <v>266</v>
      </c>
      <c r="E81" s="1010" t="s">
        <v>275</v>
      </c>
      <c r="F81" s="1009">
        <v>500000</v>
      </c>
      <c r="G81" s="1010" t="s">
        <v>382</v>
      </c>
    </row>
    <row r="82" spans="2:7">
      <c r="B82" s="1005">
        <v>8</v>
      </c>
      <c r="C82" s="1006" t="s">
        <v>335</v>
      </c>
      <c r="D82" s="1011" t="s">
        <v>266</v>
      </c>
      <c r="E82" s="1010" t="s">
        <v>383</v>
      </c>
      <c r="F82" s="1009">
        <v>300000</v>
      </c>
      <c r="G82" s="1010" t="s">
        <v>384</v>
      </c>
    </row>
    <row r="83" spans="2:7">
      <c r="B83" s="1005">
        <v>9</v>
      </c>
      <c r="C83" s="1006" t="s">
        <v>385</v>
      </c>
      <c r="D83" s="1011" t="s">
        <v>266</v>
      </c>
      <c r="E83" s="1010" t="s">
        <v>386</v>
      </c>
      <c r="F83" s="1009">
        <v>200000</v>
      </c>
      <c r="G83" s="1010" t="s">
        <v>387</v>
      </c>
    </row>
    <row r="84" spans="2:7">
      <c r="B84" s="1005">
        <v>10</v>
      </c>
      <c r="C84" s="1006" t="s">
        <v>388</v>
      </c>
      <c r="D84" s="1011" t="s">
        <v>266</v>
      </c>
      <c r="E84" s="1010" t="s">
        <v>383</v>
      </c>
      <c r="F84" s="1009">
        <v>300000</v>
      </c>
      <c r="G84" s="1010" t="s">
        <v>389</v>
      </c>
    </row>
    <row r="85" spans="2:7">
      <c r="B85" s="1005" t="s">
        <v>243</v>
      </c>
      <c r="C85" s="1006" t="s">
        <v>244</v>
      </c>
      <c r="D85" s="1011" t="s">
        <v>244</v>
      </c>
      <c r="E85" s="1010" t="s">
        <v>244</v>
      </c>
      <c r="F85" s="1009">
        <f>SUM(F75:F84)</f>
        <v>11900000</v>
      </c>
      <c r="G85" s="1010" t="s">
        <v>244</v>
      </c>
    </row>
  </sheetData>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4:P101"/>
  <sheetViews>
    <sheetView zoomScale="75" zoomScaleNormal="75" topLeftCell="B1" workbookViewId="0">
      <selection activeCell="I44" sqref="I44"/>
    </sheetView>
  </sheetViews>
  <sheetFormatPr defaultColWidth="9.0625" defaultRowHeight="17.6"/>
  <cols>
    <col min="1" max="2" width="3.00892857142857" customWidth="1"/>
    <col min="3" max="3" width="20.1785714285714" style="930" customWidth="1"/>
    <col min="4" max="4" width="32.8839285714286" customWidth="1"/>
    <col min="5" max="5" width="11" style="1" customWidth="1"/>
    <col min="6" max="6" width="12.6339285714286" customWidth="1"/>
    <col min="7" max="7" width="17.6875" customWidth="1"/>
    <col min="8" max="8" width="13.8839285714286" customWidth="1"/>
    <col min="9" max="9" width="17.6875" customWidth="1"/>
    <col min="10" max="10" width="13.3839285714286" customWidth="1"/>
    <col min="11" max="11" width="11.3571428571429" customWidth="1"/>
    <col min="12" max="12" width="16.3660714285714" customWidth="1"/>
    <col min="13" max="13" width="11.7857142857143" customWidth="1"/>
    <col min="14" max="14" width="11.1339285714286" customWidth="1"/>
    <col min="16" max="16" width="12.6696428571429"/>
  </cols>
  <sheetData>
    <row r="4" ht="23.2" spans="3:16">
      <c r="C4" s="931" t="s">
        <v>390</v>
      </c>
      <c r="D4" s="932" t="s">
        <v>391</v>
      </c>
      <c r="E4" s="933"/>
      <c r="F4" s="933"/>
      <c r="G4" s="933"/>
      <c r="H4" s="933"/>
      <c r="I4" s="934"/>
      <c r="J4" s="935" t="s">
        <v>392</v>
      </c>
      <c r="K4" s="935"/>
      <c r="L4" s="1" t="s">
        <v>393</v>
      </c>
      <c r="M4" s="1" t="s">
        <v>394</v>
      </c>
      <c r="N4" s="1"/>
    </row>
    <row r="5" ht="18" spans="3:16">
      <c r="C5" s="270" t="s">
        <v>395</v>
      </c>
      <c r="D5" s="270" t="s">
        <v>396</v>
      </c>
      <c r="E5" s="270" t="s">
        <v>4</v>
      </c>
      <c r="F5" s="270" t="s">
        <v>5</v>
      </c>
      <c r="G5" s="270" t="s">
        <v>397</v>
      </c>
      <c r="H5" s="270" t="s">
        <v>398</v>
      </c>
      <c r="I5" s="936" t="s">
        <v>64</v>
      </c>
      <c r="J5" s="2" t="s">
        <v>399</v>
      </c>
      <c r="K5" s="2" t="s">
        <v>400</v>
      </c>
      <c r="M5" s="1" t="s">
        <v>401</v>
      </c>
      <c r="N5" s="1" t="s">
        <v>402</v>
      </c>
    </row>
    <row r="6" spans="3:16">
      <c r="C6" s="937"/>
      <c r="D6" s="938"/>
      <c r="E6" s="173"/>
      <c r="F6" s="173"/>
      <c r="G6" s="939"/>
      <c r="H6" s="939"/>
      <c r="I6" s="2"/>
      <c r="J6" s="2"/>
      <c r="K6" s="2"/>
      <c r="M6" s="2" t="s">
        <v>403</v>
      </c>
      <c r="N6" s="2"/>
    </row>
    <row r="7" ht="18" spans="3:16">
      <c r="C7" s="940" t="s">
        <v>404</v>
      </c>
      <c r="D7" s="941" t="str">
        <f>"光伏组件（共 "&amp;TEXT(ROUNDUP($F$7/MID($I$7,7,3),0),"###,#0")&amp;" 块）"</f>
        <v>光伏组件（共 1,083,334 块）</v>
      </c>
      <c r="E7" s="942" t="s">
        <v>405</v>
      </c>
      <c r="F7" s="943">
        <v>780000000</v>
      </c>
      <c r="G7" s="944">
        <v>0.75</v>
      </c>
      <c r="H7" s="939">
        <f>F7*G7/10000</f>
        <v>58500</v>
      </c>
      <c r="I7" s="945" t="s">
        <v>406</v>
      </c>
      <c r="J7" s="946">
        <v>500</v>
      </c>
      <c r="K7" s="947">
        <f>MID($J$4,11,4)*J7*$F$7/1000000/10/10000</f>
        <v>16770</v>
      </c>
      <c r="L7" s="1" t="s">
        <v>407</v>
      </c>
      <c r="M7" s="944">
        <v>0.08</v>
      </c>
      <c r="N7" s="379">
        <f t="shared" ref="N7:N13" si="0">M7*F7/10000</f>
        <v>6240</v>
      </c>
    </row>
    <row r="8" ht="18" spans="3:16">
      <c r="C8" s="948"/>
      <c r="D8" s="941" t="s">
        <v>408</v>
      </c>
      <c r="E8" s="942" t="s">
        <v>405</v>
      </c>
      <c r="F8" s="943">
        <v>780000000</v>
      </c>
      <c r="G8" s="944">
        <v>0.13</v>
      </c>
      <c r="H8" s="939">
        <f>F8*G8/10000</f>
        <v>10140</v>
      </c>
      <c r="I8" s="949" t="s">
        <v>409</v>
      </c>
      <c r="J8" s="946">
        <v>25</v>
      </c>
      <c r="K8" s="947">
        <f t="shared" ref="K8:K15" si="1">MID($J$4,11,3)*J8*$F$7/1000000/10/10000</f>
        <v>83.85</v>
      </c>
      <c r="L8" s="1" t="s">
        <v>407</v>
      </c>
      <c r="M8" s="944">
        <v>0.02</v>
      </c>
      <c r="N8" s="379">
        <f t="shared" si="0"/>
        <v>1560</v>
      </c>
    </row>
    <row r="9" ht="18" spans="3:16">
      <c r="C9" s="948"/>
      <c r="D9" s="941" t="s">
        <v>410</v>
      </c>
      <c r="E9" s="942" t="s">
        <v>405</v>
      </c>
      <c r="F9" s="943">
        <v>780000000</v>
      </c>
      <c r="G9" s="944">
        <v>0.24</v>
      </c>
      <c r="H9" s="939">
        <f t="shared" ref="H9:H15" si="2">F9*G9/10000</f>
        <v>18720</v>
      </c>
      <c r="I9" s="946"/>
      <c r="J9" s="946">
        <v>400</v>
      </c>
      <c r="K9" s="947">
        <f t="shared" si="1"/>
        <v>1341.6</v>
      </c>
      <c r="L9" s="1" t="s">
        <v>407</v>
      </c>
      <c r="M9" s="944">
        <v>0.03</v>
      </c>
      <c r="N9" s="379">
        <f t="shared" si="0"/>
        <v>2340</v>
      </c>
      <c r="P9">
        <f>156000000/1083334</f>
        <v>143.99991138467</v>
      </c>
    </row>
    <row r="10" ht="18" spans="3:16">
      <c r="C10" s="948"/>
      <c r="D10" s="941" t="s">
        <v>230</v>
      </c>
      <c r="E10" s="942" t="s">
        <v>411</v>
      </c>
      <c r="F10" s="943">
        <v>7800</v>
      </c>
      <c r="G10" s="943">
        <v>3000</v>
      </c>
      <c r="H10" s="939">
        <f t="shared" si="2"/>
        <v>2340</v>
      </c>
      <c r="I10" s="946"/>
      <c r="J10" s="946">
        <v>4</v>
      </c>
      <c r="K10" s="947">
        <f t="shared" si="1"/>
        <v>13.416</v>
      </c>
      <c r="L10" t="s">
        <v>412</v>
      </c>
      <c r="M10" s="943">
        <v>500</v>
      </c>
      <c r="N10" s="379">
        <f t="shared" si="0"/>
        <v>390</v>
      </c>
    </row>
    <row r="11" ht="18" spans="3:16">
      <c r="C11" s="948"/>
      <c r="D11" s="941" t="s">
        <v>413</v>
      </c>
      <c r="E11" s="942" t="s">
        <v>411</v>
      </c>
      <c r="F11" s="950">
        <v>78</v>
      </c>
      <c r="G11" s="943">
        <v>580000</v>
      </c>
      <c r="H11" s="939">
        <f t="shared" si="2"/>
        <v>4524</v>
      </c>
      <c r="I11" s="946"/>
      <c r="J11" s="946">
        <v>32</v>
      </c>
      <c r="K11" s="947">
        <f t="shared" si="1"/>
        <v>107.328</v>
      </c>
      <c r="L11" t="s">
        <v>412</v>
      </c>
      <c r="M11" s="943">
        <v>40000</v>
      </c>
      <c r="N11" s="379">
        <f t="shared" si="0"/>
        <v>312</v>
      </c>
    </row>
    <row r="12" ht="18" spans="3:16">
      <c r="C12" s="948"/>
      <c r="D12" s="941" t="s">
        <v>414</v>
      </c>
      <c r="E12" s="942" t="s">
        <v>411</v>
      </c>
      <c r="F12" s="950">
        <v>78</v>
      </c>
      <c r="G12" s="943">
        <v>100000</v>
      </c>
      <c r="H12" s="939">
        <f t="shared" si="2"/>
        <v>780</v>
      </c>
      <c r="I12" s="946"/>
      <c r="J12" s="946">
        <v>10</v>
      </c>
      <c r="K12" s="947">
        <f t="shared" si="1"/>
        <v>33.54</v>
      </c>
      <c r="L12" t="s">
        <v>412</v>
      </c>
      <c r="M12" s="943">
        <v>20000</v>
      </c>
      <c r="N12" s="379">
        <f t="shared" si="0"/>
        <v>156</v>
      </c>
    </row>
    <row r="13" ht="18" spans="3:16">
      <c r="C13" s="948"/>
      <c r="D13" s="941" t="s">
        <v>415</v>
      </c>
      <c r="E13" s="942" t="s">
        <v>14</v>
      </c>
      <c r="F13" s="950">
        <v>30</v>
      </c>
      <c r="G13" s="943">
        <v>287000</v>
      </c>
      <c r="H13" s="939">
        <f t="shared" si="2"/>
        <v>861</v>
      </c>
      <c r="I13" s="946"/>
      <c r="J13" s="946">
        <v>2</v>
      </c>
      <c r="K13" s="947">
        <f t="shared" si="1"/>
        <v>6.708</v>
      </c>
      <c r="L13" t="s">
        <v>412</v>
      </c>
      <c r="M13" s="943">
        <v>150000</v>
      </c>
      <c r="N13" s="379">
        <f t="shared" si="0"/>
        <v>450</v>
      </c>
    </row>
    <row r="14" ht="18" spans="3:16">
      <c r="C14" s="948"/>
      <c r="D14" s="941" t="s">
        <v>237</v>
      </c>
      <c r="E14" s="942" t="s">
        <v>14</v>
      </c>
      <c r="F14" s="950">
        <v>10</v>
      </c>
      <c r="G14" s="943">
        <v>287000</v>
      </c>
      <c r="H14" s="939">
        <f t="shared" si="2"/>
        <v>287</v>
      </c>
      <c r="I14" s="946"/>
      <c r="J14" s="946">
        <v>2</v>
      </c>
      <c r="K14" s="947">
        <f t="shared" si="1"/>
        <v>6.708</v>
      </c>
      <c r="M14" s="943"/>
      <c r="N14" s="379"/>
    </row>
    <row r="15" ht="21" customHeight="1" spans="3:16">
      <c r="C15" s="948"/>
      <c r="D15" s="941" t="s">
        <v>416</v>
      </c>
      <c r="E15" s="942" t="s">
        <v>417</v>
      </c>
      <c r="F15" s="943">
        <v>500</v>
      </c>
      <c r="G15" s="943">
        <v>358000</v>
      </c>
      <c r="H15" s="939">
        <f t="shared" si="2"/>
        <v>17900</v>
      </c>
      <c r="I15" s="946"/>
      <c r="J15" s="946">
        <v>55</v>
      </c>
      <c r="K15" s="947">
        <f t="shared" si="1"/>
        <v>184.47</v>
      </c>
      <c r="M15" s="943">
        <v>10000</v>
      </c>
      <c r="N15" s="379">
        <f>M15*F15/10000</f>
        <v>500</v>
      </c>
    </row>
    <row r="16" ht="21" customHeight="1" spans="3:16">
      <c r="C16" s="948"/>
      <c r="D16" s="951" t="s">
        <v>418</v>
      </c>
      <c r="E16" s="952" t="s">
        <v>419</v>
      </c>
      <c r="F16" s="952"/>
      <c r="G16" s="953"/>
      <c r="H16" s="953">
        <f>SUM(H7:H15)</f>
        <v>114052</v>
      </c>
      <c r="I16" s="379"/>
      <c r="J16" s="379"/>
      <c r="K16" s="954">
        <f>SUM(K7:K15)</f>
        <v>18547.62</v>
      </c>
      <c r="M16" s="379" t="s">
        <v>243</v>
      </c>
      <c r="N16" s="955">
        <f>SUM(N7:N15)</f>
        <v>11948</v>
      </c>
    </row>
    <row r="17" ht="21" customHeight="1" spans="3:14">
      <c r="C17" s="948"/>
      <c r="D17" s="938"/>
      <c r="E17" s="173"/>
      <c r="F17" s="939"/>
      <c r="G17" s="939"/>
      <c r="H17" s="939"/>
      <c r="I17" s="379"/>
      <c r="J17" s="379"/>
      <c r="K17" s="947"/>
    </row>
    <row r="18" ht="18" spans="3:14">
      <c r="C18" s="940" t="s">
        <v>420</v>
      </c>
      <c r="D18" s="941" t="s">
        <v>421</v>
      </c>
      <c r="E18" s="942" t="s">
        <v>405</v>
      </c>
      <c r="F18" s="943">
        <v>780000000</v>
      </c>
      <c r="G18" s="944">
        <v>0.1</v>
      </c>
      <c r="H18" s="939">
        <f t="shared" ref="H18:H25" si="3">F18*G18/10000</f>
        <v>7800</v>
      </c>
      <c r="I18" s="379"/>
      <c r="J18" s="379"/>
      <c r="K18" s="379"/>
      <c r="L18" t="s">
        <v>422</v>
      </c>
      <c r="M18" s="944">
        <v>0.03</v>
      </c>
      <c r="N18" s="2">
        <f>M18*F18/10000</f>
        <v>2340</v>
      </c>
    </row>
    <row r="19" ht="18" spans="3:14">
      <c r="C19" s="948"/>
      <c r="D19" s="941" t="s">
        <v>423</v>
      </c>
      <c r="E19" s="942" t="s">
        <v>405</v>
      </c>
      <c r="F19" s="943">
        <v>780000000</v>
      </c>
      <c r="G19" s="956">
        <f>H19*10000/F19</f>
        <v>0.238333346153846</v>
      </c>
      <c r="H19" s="939">
        <f>H20+H21+H23</f>
        <v>18590.001</v>
      </c>
      <c r="I19" s="379"/>
      <c r="J19" s="379"/>
      <c r="K19" s="379"/>
      <c r="M19" s="944">
        <v>0.03</v>
      </c>
      <c r="N19" s="2">
        <f>M19*F19/10000</f>
        <v>2340</v>
      </c>
    </row>
    <row r="20" spans="3:14">
      <c r="C20" s="948"/>
      <c r="D20" s="957" t="s">
        <v>424</v>
      </c>
      <c r="E20" s="958" t="s">
        <v>425</v>
      </c>
      <c r="F20" s="959" t="str">
        <f>TEXT(ROUNDUP($F$7*10/MID($I$7,7,3),0),"###,#0")</f>
        <v>10,833,334</v>
      </c>
      <c r="G20" s="960">
        <v>15</v>
      </c>
      <c r="H20" s="961">
        <f t="shared" si="3"/>
        <v>16250.001</v>
      </c>
      <c r="I20" s="379"/>
      <c r="J20" s="379"/>
      <c r="K20" s="379"/>
      <c r="L20" t="s">
        <v>422</v>
      </c>
      <c r="M20" s="960">
        <v>10</v>
      </c>
      <c r="N20" s="962">
        <f>F20*M20/10000</f>
        <v>10833.334</v>
      </c>
    </row>
    <row r="21" ht="18" spans="3:14">
      <c r="C21" s="948"/>
      <c r="D21" s="957" t="s">
        <v>426</v>
      </c>
      <c r="E21" s="942" t="s">
        <v>427</v>
      </c>
      <c r="F21" s="963">
        <f>F7/1000000</f>
        <v>780</v>
      </c>
      <c r="G21" s="960">
        <v>18000</v>
      </c>
      <c r="H21" s="961">
        <f t="shared" si="3"/>
        <v>1404</v>
      </c>
      <c r="I21" s="379"/>
      <c r="J21" s="379"/>
      <c r="K21" s="379"/>
      <c r="L21" t="s">
        <v>422</v>
      </c>
      <c r="M21" s="964">
        <v>3000</v>
      </c>
      <c r="N21" s="962">
        <f>F21*M21/10000</f>
        <v>234</v>
      </c>
    </row>
    <row r="22" ht="18" spans="3:14">
      <c r="C22" s="948"/>
      <c r="D22" s="957" t="s">
        <v>321</v>
      </c>
      <c r="E22" s="942" t="s">
        <v>14</v>
      </c>
      <c r="F22" s="959" t="str">
        <f>TEXT(ROUNDUP($F$7*10/MID($I$7,7,3),0),"###,#0")</f>
        <v>10,833,334</v>
      </c>
      <c r="G22" s="960">
        <v>15</v>
      </c>
      <c r="H22" s="961">
        <f t="shared" si="3"/>
        <v>16250.001</v>
      </c>
      <c r="I22" s="379"/>
      <c r="J22" s="379"/>
      <c r="K22" s="379"/>
      <c r="M22" s="964"/>
      <c r="N22" s="962"/>
    </row>
    <row r="23" ht="18" spans="3:14">
      <c r="C23" s="948"/>
      <c r="D23" s="957" t="s">
        <v>428</v>
      </c>
      <c r="E23" s="942" t="s">
        <v>427</v>
      </c>
      <c r="F23" s="963">
        <f>F7/1000000</f>
        <v>780</v>
      </c>
      <c r="G23" s="960">
        <v>12000</v>
      </c>
      <c r="H23" s="961">
        <f t="shared" si="3"/>
        <v>936</v>
      </c>
      <c r="I23" s="379"/>
      <c r="J23" s="379"/>
      <c r="K23" s="379"/>
      <c r="L23" t="s">
        <v>422</v>
      </c>
      <c r="M23" s="964">
        <v>3000</v>
      </c>
      <c r="N23" s="962">
        <f>F23*M23/10000</f>
        <v>234</v>
      </c>
    </row>
    <row r="24" ht="18" spans="3:14">
      <c r="C24" s="948"/>
      <c r="D24" s="941" t="s">
        <v>282</v>
      </c>
      <c r="E24" s="942" t="s">
        <v>429</v>
      </c>
      <c r="F24" s="943">
        <f>假设及结论!G21*10000/666</f>
        <v>18509.009009009</v>
      </c>
      <c r="G24" s="943">
        <v>2000</v>
      </c>
      <c r="H24" s="939">
        <f t="shared" si="3"/>
        <v>3701.8018018018</v>
      </c>
      <c r="I24" s="379"/>
      <c r="J24" s="379"/>
      <c r="K24" s="379"/>
      <c r="L24" t="s">
        <v>422</v>
      </c>
      <c r="M24" s="964">
        <v>500</v>
      </c>
      <c r="N24" s="962">
        <f>M24*F24/10000</f>
        <v>925.45045045045</v>
      </c>
    </row>
    <row r="25" ht="18" spans="3:14">
      <c r="C25" s="948"/>
      <c r="D25" s="941" t="s">
        <v>430</v>
      </c>
      <c r="E25" s="942" t="s">
        <v>417</v>
      </c>
      <c r="F25" s="950">
        <v>120</v>
      </c>
      <c r="G25" s="943">
        <v>500000</v>
      </c>
      <c r="H25" s="939">
        <f t="shared" si="3"/>
        <v>6000</v>
      </c>
      <c r="I25" s="379"/>
      <c r="J25" s="379"/>
      <c r="K25" s="379"/>
      <c r="L25" t="s">
        <v>422</v>
      </c>
      <c r="M25" s="964">
        <v>300000</v>
      </c>
      <c r="N25" s="962">
        <f>F25*M25/10000</f>
        <v>3600</v>
      </c>
    </row>
    <row r="26" ht="18" spans="3:14">
      <c r="C26" s="948"/>
      <c r="D26" s="951" t="s">
        <v>431</v>
      </c>
      <c r="E26" s="952" t="s">
        <v>419</v>
      </c>
      <c r="F26" s="952"/>
      <c r="G26" s="953"/>
      <c r="H26" s="953">
        <f>SUM(H18:H25)-SUM(H20:H23)</f>
        <v>36091.8028018018</v>
      </c>
      <c r="I26" s="379"/>
      <c r="J26" s="379"/>
      <c r="K26" s="379"/>
      <c r="M26" s="379" t="s">
        <v>243</v>
      </c>
      <c r="N26" s="955">
        <f>SUM(N18:N25)</f>
        <v>20506.7844504505</v>
      </c>
    </row>
    <row r="27" spans="3:14">
      <c r="C27" s="948"/>
      <c r="D27" s="938"/>
      <c r="E27" s="173"/>
      <c r="F27" s="941"/>
      <c r="G27" s="939"/>
      <c r="H27" s="939"/>
      <c r="I27" s="2"/>
      <c r="J27" s="2" t="s">
        <v>432</v>
      </c>
      <c r="K27" s="379"/>
    </row>
    <row r="28" ht="18" spans="3:14">
      <c r="C28" s="940" t="s">
        <v>433</v>
      </c>
      <c r="D28" s="941" t="s">
        <v>434</v>
      </c>
      <c r="E28" s="942" t="s">
        <v>411</v>
      </c>
      <c r="F28" s="950">
        <v>2</v>
      </c>
      <c r="G28" s="943">
        <v>32000000</v>
      </c>
      <c r="H28" s="939">
        <f t="shared" ref="H28:H52" si="4">F28*G28/10000</f>
        <v>6400</v>
      </c>
      <c r="I28" s="965"/>
      <c r="J28" s="965">
        <v>300</v>
      </c>
      <c r="K28" s="966">
        <f t="shared" ref="K28:K42" si="5">F28*J28*MID($J$4,11,4)/10000</f>
        <v>258</v>
      </c>
      <c r="L28" t="s">
        <v>412</v>
      </c>
    </row>
    <row r="29" ht="18" spans="3:14">
      <c r="C29" s="948"/>
      <c r="D29" s="941" t="s">
        <v>435</v>
      </c>
      <c r="E29" s="942" t="s">
        <v>14</v>
      </c>
      <c r="F29" s="950">
        <v>1</v>
      </c>
      <c r="G29" s="967">
        <f>H29*10000</f>
        <v>45000000</v>
      </c>
      <c r="H29" s="939">
        <f>SUM(H30:H34)</f>
        <v>4500</v>
      </c>
      <c r="I29" s="965"/>
      <c r="J29" s="965" cm="1">
        <f t="array" ref="J29">SUMPRODUCT(F30:F34*J30:J34)</f>
        <v>156</v>
      </c>
      <c r="K29" s="968">
        <f t="shared" si="5"/>
        <v>67.08</v>
      </c>
      <c r="L29" t="s">
        <v>412</v>
      </c>
    </row>
    <row r="30" ht="18" spans="3:14">
      <c r="C30" s="948"/>
      <c r="D30" s="938" t="s">
        <v>436</v>
      </c>
      <c r="E30" s="942" t="s">
        <v>411</v>
      </c>
      <c r="F30" s="950">
        <v>6</v>
      </c>
      <c r="G30" s="943">
        <v>4000000</v>
      </c>
      <c r="H30" s="939">
        <f t="shared" si="4"/>
        <v>2400</v>
      </c>
      <c r="I30" s="969"/>
      <c r="J30" s="969">
        <v>8</v>
      </c>
      <c r="K30" s="968">
        <f t="shared" si="5"/>
        <v>20.64</v>
      </c>
      <c r="L30" t="s">
        <v>412</v>
      </c>
    </row>
    <row r="31" ht="18" spans="3:14">
      <c r="C31" s="948"/>
      <c r="D31" s="938" t="s">
        <v>437</v>
      </c>
      <c r="E31" s="942" t="s">
        <v>438</v>
      </c>
      <c r="F31" s="950">
        <v>12</v>
      </c>
      <c r="G31" s="943">
        <v>800000</v>
      </c>
      <c r="H31" s="939">
        <f t="shared" si="4"/>
        <v>960</v>
      </c>
      <c r="I31" s="969"/>
      <c r="J31" s="969">
        <v>5</v>
      </c>
      <c r="K31" s="968">
        <f t="shared" si="5"/>
        <v>25.8</v>
      </c>
      <c r="L31" t="s">
        <v>412</v>
      </c>
    </row>
    <row r="32" ht="18" spans="3:14">
      <c r="C32" s="948"/>
      <c r="D32" s="938" t="s">
        <v>439</v>
      </c>
      <c r="E32" s="942" t="s">
        <v>438</v>
      </c>
      <c r="F32" s="950">
        <v>6</v>
      </c>
      <c r="G32" s="943">
        <v>600000</v>
      </c>
      <c r="H32" s="939">
        <f t="shared" si="4"/>
        <v>360</v>
      </c>
      <c r="I32" s="969"/>
      <c r="J32" s="969">
        <v>3</v>
      </c>
      <c r="K32" s="968">
        <f t="shared" si="5"/>
        <v>7.74</v>
      </c>
      <c r="L32" t="s">
        <v>412</v>
      </c>
    </row>
    <row r="33" ht="18" spans="3:14">
      <c r="C33" s="948"/>
      <c r="D33" s="938" t="s">
        <v>440</v>
      </c>
      <c r="E33" s="942" t="s">
        <v>438</v>
      </c>
      <c r="F33" s="950">
        <v>6</v>
      </c>
      <c r="G33" s="943">
        <v>800000</v>
      </c>
      <c r="H33" s="939">
        <f t="shared" si="4"/>
        <v>480</v>
      </c>
      <c r="I33" s="969"/>
      <c r="J33" s="969">
        <v>4</v>
      </c>
      <c r="K33" s="968">
        <f t="shared" si="5"/>
        <v>10.32</v>
      </c>
      <c r="L33" t="s">
        <v>412</v>
      </c>
    </row>
    <row r="34" ht="18" spans="3:14">
      <c r="C34" s="948"/>
      <c r="D34" s="938" t="s">
        <v>441</v>
      </c>
      <c r="E34" s="942" t="s">
        <v>438</v>
      </c>
      <c r="F34" s="950">
        <v>6</v>
      </c>
      <c r="G34" s="943">
        <v>500000</v>
      </c>
      <c r="H34" s="939">
        <f t="shared" si="4"/>
        <v>300</v>
      </c>
      <c r="I34" s="965"/>
      <c r="J34" s="965">
        <v>1</v>
      </c>
      <c r="K34" s="968">
        <f t="shared" si="5"/>
        <v>2.58</v>
      </c>
      <c r="L34" t="s">
        <v>412</v>
      </c>
    </row>
    <row r="35" ht="18" spans="3:14">
      <c r="C35" s="948"/>
      <c r="D35" s="941" t="s">
        <v>442</v>
      </c>
      <c r="E35" s="942" t="s">
        <v>14</v>
      </c>
      <c r="F35" s="950">
        <v>1</v>
      </c>
      <c r="G35" s="943">
        <v>5000000</v>
      </c>
      <c r="H35" s="939">
        <f t="shared" si="4"/>
        <v>500</v>
      </c>
      <c r="I35" s="965"/>
      <c r="J35" s="965">
        <v>30</v>
      </c>
      <c r="K35" s="968">
        <f t="shared" si="5"/>
        <v>12.9</v>
      </c>
      <c r="L35" t="s">
        <v>412</v>
      </c>
    </row>
    <row r="36" ht="18" spans="3:14">
      <c r="C36" s="948"/>
      <c r="D36" s="941" t="s">
        <v>443</v>
      </c>
      <c r="E36" s="942" t="s">
        <v>14</v>
      </c>
      <c r="F36" s="950">
        <v>1</v>
      </c>
      <c r="G36" s="943">
        <v>30000000</v>
      </c>
      <c r="H36" s="939">
        <f t="shared" si="4"/>
        <v>3000</v>
      </c>
      <c r="I36" s="965"/>
      <c r="J36" s="965">
        <v>100</v>
      </c>
      <c r="K36" s="968">
        <f t="shared" si="5"/>
        <v>43</v>
      </c>
      <c r="L36" t="s">
        <v>412</v>
      </c>
    </row>
    <row r="37" ht="36" spans="3:14">
      <c r="C37" s="948"/>
      <c r="D37" s="941" t="s">
        <v>444</v>
      </c>
      <c r="E37" s="942" t="s">
        <v>14</v>
      </c>
      <c r="F37" s="950">
        <v>1</v>
      </c>
      <c r="G37" s="943">
        <v>25000000</v>
      </c>
      <c r="H37" s="939">
        <f t="shared" si="4"/>
        <v>2500</v>
      </c>
      <c r="I37" s="965"/>
      <c r="J37" s="965">
        <v>25</v>
      </c>
      <c r="K37" s="968">
        <f t="shared" si="5"/>
        <v>10.75</v>
      </c>
      <c r="L37" t="s">
        <v>412</v>
      </c>
    </row>
    <row r="38" ht="36" spans="3:14">
      <c r="C38" s="948"/>
      <c r="D38" s="941" t="s">
        <v>445</v>
      </c>
      <c r="E38" s="942" t="s">
        <v>14</v>
      </c>
      <c r="F38" s="950">
        <v>1</v>
      </c>
      <c r="G38" s="943">
        <v>15000000</v>
      </c>
      <c r="H38" s="939">
        <f t="shared" si="4"/>
        <v>1500</v>
      </c>
      <c r="I38" s="969"/>
      <c r="J38" s="969">
        <v>15</v>
      </c>
      <c r="K38" s="968">
        <f t="shared" si="5"/>
        <v>6.45</v>
      </c>
      <c r="L38" t="s">
        <v>412</v>
      </c>
    </row>
    <row r="39" ht="18" spans="3:14">
      <c r="C39" s="948"/>
      <c r="D39" s="941" t="s">
        <v>446</v>
      </c>
      <c r="E39" s="942" t="s">
        <v>14</v>
      </c>
      <c r="F39" s="950">
        <v>1</v>
      </c>
      <c r="G39" s="943">
        <v>200000</v>
      </c>
      <c r="H39" s="939">
        <f t="shared" si="4"/>
        <v>20</v>
      </c>
      <c r="I39" s="969"/>
      <c r="J39" s="969">
        <v>8</v>
      </c>
      <c r="K39" s="968">
        <f t="shared" si="5"/>
        <v>3.44</v>
      </c>
      <c r="L39" t="s">
        <v>412</v>
      </c>
    </row>
    <row r="40" ht="18" spans="3:14">
      <c r="C40" s="948"/>
      <c r="D40" s="941" t="s">
        <v>447</v>
      </c>
      <c r="E40" s="942" t="s">
        <v>14</v>
      </c>
      <c r="F40" s="950">
        <v>1</v>
      </c>
      <c r="G40" s="943">
        <v>10000000</v>
      </c>
      <c r="H40" s="939">
        <f t="shared" si="4"/>
        <v>1000</v>
      </c>
      <c r="I40" s="969"/>
      <c r="J40" s="969">
        <v>5</v>
      </c>
      <c r="K40" s="968">
        <f t="shared" si="5"/>
        <v>2.15</v>
      </c>
      <c r="L40" t="s">
        <v>412</v>
      </c>
    </row>
    <row r="41" ht="18" spans="3:14">
      <c r="C41" s="948"/>
      <c r="D41" s="941" t="s">
        <v>448</v>
      </c>
      <c r="E41" s="942" t="s">
        <v>14</v>
      </c>
      <c r="F41" s="950">
        <v>1</v>
      </c>
      <c r="G41" s="943">
        <v>5000000</v>
      </c>
      <c r="H41" s="939">
        <f t="shared" si="4"/>
        <v>500</v>
      </c>
      <c r="I41" s="969"/>
      <c r="J41" s="969">
        <v>4</v>
      </c>
      <c r="K41" s="968">
        <f t="shared" si="5"/>
        <v>1.72</v>
      </c>
      <c r="L41" t="s">
        <v>412</v>
      </c>
    </row>
    <row r="42" ht="18" spans="3:14">
      <c r="C42" s="948"/>
      <c r="D42" s="941" t="s">
        <v>449</v>
      </c>
      <c r="E42" s="942" t="s">
        <v>411</v>
      </c>
      <c r="F42" s="950">
        <v>2</v>
      </c>
      <c r="G42" s="943">
        <v>2000000</v>
      </c>
      <c r="H42" s="939">
        <f t="shared" si="4"/>
        <v>400</v>
      </c>
      <c r="I42" s="969"/>
      <c r="J42" s="969">
        <v>12</v>
      </c>
      <c r="K42" s="968">
        <f t="shared" si="5"/>
        <v>10.32</v>
      </c>
      <c r="L42" t="s">
        <v>412</v>
      </c>
    </row>
    <row r="43" ht="18" spans="3:14">
      <c r="C43" s="948"/>
      <c r="D43" s="951" t="s">
        <v>450</v>
      </c>
      <c r="E43" s="952" t="s">
        <v>419</v>
      </c>
      <c r="F43" s="952"/>
      <c r="G43" s="953"/>
      <c r="H43" s="953">
        <f>SUM(H28:H42)-H29</f>
        <v>20320</v>
      </c>
      <c r="I43" s="379"/>
      <c r="J43" s="379"/>
      <c r="K43" s="195">
        <f>SUM(K28:K42)-K29</f>
        <v>415.81</v>
      </c>
    </row>
    <row r="44" spans="3:14">
      <c r="C44" s="948"/>
      <c r="D44" s="938"/>
      <c r="E44" s="173"/>
      <c r="F44" s="941"/>
      <c r="G44" s="939"/>
      <c r="H44" s="939"/>
      <c r="I44" s="379"/>
      <c r="J44" s="379"/>
      <c r="K44" s="379"/>
    </row>
    <row r="45" ht="36" spans="3:14">
      <c r="C45" s="940" t="s">
        <v>451</v>
      </c>
      <c r="D45" s="941" t="s">
        <v>452</v>
      </c>
      <c r="E45" s="942" t="s">
        <v>453</v>
      </c>
      <c r="F45" s="950">
        <v>8000</v>
      </c>
      <c r="G45" s="943">
        <v>7000</v>
      </c>
      <c r="H45" s="939">
        <f>F45*G45/10000</f>
        <v>5600</v>
      </c>
      <c r="I45" s="379"/>
      <c r="J45" s="379"/>
      <c r="K45" s="379"/>
      <c r="L45" t="s">
        <v>422</v>
      </c>
      <c r="M45" s="970">
        <v>2000</v>
      </c>
      <c r="N45" s="970">
        <f t="shared" ref="N45:N49" si="6">M45*F45/10000</f>
        <v>1600</v>
      </c>
    </row>
    <row r="46" ht="18" spans="3:14">
      <c r="C46" s="948"/>
      <c r="D46" s="941" t="s">
        <v>454</v>
      </c>
      <c r="E46" s="942" t="s">
        <v>14</v>
      </c>
      <c r="F46" s="950">
        <v>1</v>
      </c>
      <c r="G46" s="943">
        <v>20000000</v>
      </c>
      <c r="H46" s="939">
        <f>F46*G46/10000</f>
        <v>2000</v>
      </c>
      <c r="I46" s="379"/>
      <c r="J46" s="379"/>
      <c r="K46" s="379"/>
      <c r="L46" t="s">
        <v>422</v>
      </c>
      <c r="M46" s="970">
        <v>5000000</v>
      </c>
      <c r="N46" s="970">
        <f t="shared" si="6"/>
        <v>500</v>
      </c>
    </row>
    <row r="47" ht="18" spans="3:14">
      <c r="C47" s="948"/>
      <c r="D47" s="941" t="s">
        <v>455</v>
      </c>
      <c r="E47" s="942" t="s">
        <v>14</v>
      </c>
      <c r="F47" s="950">
        <v>1</v>
      </c>
      <c r="G47" s="943">
        <v>10000000</v>
      </c>
      <c r="H47" s="939">
        <f>F47*G47/10000</f>
        <v>1000</v>
      </c>
      <c r="I47" s="379"/>
      <c r="J47" s="379"/>
      <c r="K47" s="379"/>
      <c r="L47" t="s">
        <v>422</v>
      </c>
      <c r="M47" s="970">
        <v>2000000</v>
      </c>
      <c r="N47" s="970">
        <f t="shared" si="6"/>
        <v>200</v>
      </c>
    </row>
    <row r="48" ht="18" spans="3:14">
      <c r="C48" s="948"/>
      <c r="D48" s="941" t="s">
        <v>456</v>
      </c>
      <c r="E48" s="942" t="s">
        <v>14</v>
      </c>
      <c r="F48" s="950">
        <v>1</v>
      </c>
      <c r="G48" s="943">
        <v>5000000</v>
      </c>
      <c r="H48" s="939">
        <f>F48*G48/10000</f>
        <v>500</v>
      </c>
      <c r="I48" s="379"/>
      <c r="J48" s="379"/>
      <c r="K48" s="379"/>
      <c r="L48" t="s">
        <v>422</v>
      </c>
      <c r="M48" s="970">
        <v>1000000</v>
      </c>
      <c r="N48" s="970">
        <f t="shared" si="6"/>
        <v>100</v>
      </c>
    </row>
    <row r="49" ht="18" spans="3:14">
      <c r="C49" s="948"/>
      <c r="D49" s="941" t="s">
        <v>457</v>
      </c>
      <c r="E49" s="942" t="s">
        <v>14</v>
      </c>
      <c r="F49" s="950">
        <v>1</v>
      </c>
      <c r="G49" s="943">
        <v>8000000</v>
      </c>
      <c r="H49" s="939">
        <f>F49*G49/10000</f>
        <v>800</v>
      </c>
      <c r="I49" s="379"/>
      <c r="J49" s="379"/>
      <c r="K49" s="379"/>
      <c r="L49" t="s">
        <v>422</v>
      </c>
      <c r="M49" s="970">
        <v>2000000</v>
      </c>
      <c r="N49" s="970">
        <f t="shared" si="6"/>
        <v>200</v>
      </c>
    </row>
    <row r="50" ht="18" spans="3:14">
      <c r="C50" s="948"/>
      <c r="D50" s="951" t="s">
        <v>458</v>
      </c>
      <c r="E50" s="952" t="s">
        <v>419</v>
      </c>
      <c r="F50" s="952"/>
      <c r="G50" s="953"/>
      <c r="H50" s="953">
        <f>SUM(H45:H49)</f>
        <v>9900</v>
      </c>
      <c r="I50" s="379"/>
      <c r="J50" s="379"/>
      <c r="K50" s="379"/>
      <c r="M50" s="970" t="s">
        <v>459</v>
      </c>
      <c r="N50" s="970">
        <f>SUM(N45:N49)</f>
        <v>2600</v>
      </c>
    </row>
    <row r="51" spans="3:14">
      <c r="C51" s="948"/>
      <c r="D51" s="938"/>
      <c r="E51" s="173"/>
      <c r="F51" s="941"/>
      <c r="G51" s="939"/>
      <c r="H51" s="939"/>
      <c r="I51" s="379"/>
      <c r="J51" s="379"/>
      <c r="K51" s="379"/>
    </row>
    <row r="52" ht="36" spans="3:14">
      <c r="C52" s="940" t="s">
        <v>460</v>
      </c>
      <c r="D52" s="941" t="s">
        <v>461</v>
      </c>
      <c r="E52" s="942" t="s">
        <v>462</v>
      </c>
      <c r="F52" s="950">
        <v>5</v>
      </c>
      <c r="G52" s="943">
        <v>5100000</v>
      </c>
      <c r="H52" s="939">
        <f>F52*G52/10000</f>
        <v>2550</v>
      </c>
      <c r="I52" s="379"/>
      <c r="J52" s="379"/>
      <c r="K52" s="379"/>
      <c r="L52" t="s">
        <v>412</v>
      </c>
      <c r="M52" s="970">
        <v>500000</v>
      </c>
      <c r="N52" s="970">
        <f t="shared" ref="N52:N56" si="7">M52*F52/10000</f>
        <v>250</v>
      </c>
    </row>
    <row r="53" ht="18" spans="3:14">
      <c r="C53" s="948"/>
      <c r="D53" s="941" t="s">
        <v>463</v>
      </c>
      <c r="E53" s="942" t="s">
        <v>464</v>
      </c>
      <c r="F53" s="950">
        <v>28</v>
      </c>
      <c r="G53" s="943">
        <v>1500000</v>
      </c>
      <c r="H53" s="939">
        <f>F53*G53/10000</f>
        <v>4200</v>
      </c>
      <c r="I53" s="379"/>
      <c r="J53" s="379"/>
      <c r="K53" s="379"/>
      <c r="L53" t="s">
        <v>412</v>
      </c>
      <c r="M53" s="970">
        <v>300000</v>
      </c>
      <c r="N53" s="970">
        <f t="shared" si="7"/>
        <v>840</v>
      </c>
    </row>
    <row r="54" ht="18" spans="3:14">
      <c r="C54" s="948"/>
      <c r="D54" s="941" t="s">
        <v>465</v>
      </c>
      <c r="E54" s="942" t="s">
        <v>462</v>
      </c>
      <c r="F54" s="950">
        <v>14</v>
      </c>
      <c r="G54" s="943">
        <v>800000</v>
      </c>
      <c r="H54" s="939">
        <f>F54*G54/10000</f>
        <v>1120</v>
      </c>
      <c r="I54" s="379"/>
      <c r="J54" s="379"/>
      <c r="K54" s="379"/>
      <c r="L54" t="s">
        <v>412</v>
      </c>
      <c r="M54" s="970">
        <v>50000</v>
      </c>
      <c r="N54" s="970">
        <f t="shared" si="7"/>
        <v>70</v>
      </c>
    </row>
    <row r="55" ht="18" spans="3:14">
      <c r="C55" s="948"/>
      <c r="D55" s="941" t="s">
        <v>466</v>
      </c>
      <c r="E55" s="942" t="s">
        <v>462</v>
      </c>
      <c r="F55" s="950">
        <v>7</v>
      </c>
      <c r="G55" s="943">
        <v>300000</v>
      </c>
      <c r="H55" s="939">
        <f>F55*G55/10000</f>
        <v>210</v>
      </c>
      <c r="I55" s="379"/>
      <c r="J55" s="379"/>
      <c r="K55" s="379"/>
      <c r="L55" t="s">
        <v>412</v>
      </c>
      <c r="M55" s="970">
        <v>40000</v>
      </c>
      <c r="N55" s="970">
        <f t="shared" si="7"/>
        <v>28</v>
      </c>
    </row>
    <row r="56" ht="18" spans="3:14">
      <c r="C56" s="948"/>
      <c r="D56" s="941" t="s">
        <v>467</v>
      </c>
      <c r="E56" s="942" t="s">
        <v>14</v>
      </c>
      <c r="F56" s="950">
        <v>1</v>
      </c>
      <c r="G56" s="943">
        <v>2000000</v>
      </c>
      <c r="H56" s="939">
        <f>F56*G56/10000</f>
        <v>200</v>
      </c>
      <c r="I56" s="379"/>
      <c r="J56" s="379"/>
      <c r="K56" s="379"/>
      <c r="L56" t="s">
        <v>412</v>
      </c>
      <c r="M56" s="970">
        <v>400000</v>
      </c>
      <c r="N56" s="970">
        <f t="shared" si="7"/>
        <v>40</v>
      </c>
    </row>
    <row r="57" ht="18" spans="3:14">
      <c r="C57" s="948"/>
      <c r="D57" s="951" t="s">
        <v>468</v>
      </c>
      <c r="E57" s="952" t="s">
        <v>419</v>
      </c>
      <c r="F57" s="952"/>
      <c r="G57" s="953"/>
      <c r="H57" s="953">
        <f>SUM(H52:H56)</f>
        <v>8280</v>
      </c>
      <c r="I57" s="379"/>
      <c r="J57" s="379"/>
      <c r="K57" s="379"/>
      <c r="M57" s="970" t="s">
        <v>459</v>
      </c>
      <c r="N57" s="970">
        <f>SUM(N52:N56)</f>
        <v>1228</v>
      </c>
    </row>
    <row r="58" spans="3:14">
      <c r="C58" s="948"/>
      <c r="D58" s="971"/>
      <c r="E58" s="211"/>
      <c r="F58" s="211"/>
      <c r="G58" s="967"/>
      <c r="H58" s="967"/>
      <c r="I58" s="379"/>
      <c r="J58" s="379"/>
      <c r="K58" s="379"/>
    </row>
    <row r="59" ht="18" spans="3:14">
      <c r="C59" s="940" t="s">
        <v>163</v>
      </c>
      <c r="D59" s="941" t="s">
        <v>469</v>
      </c>
      <c r="E59" s="942" t="s">
        <v>37</v>
      </c>
      <c r="F59" s="950">
        <v>1</v>
      </c>
      <c r="G59" s="943">
        <v>10000000</v>
      </c>
      <c r="H59" s="939">
        <f>F59*G59/10000</f>
        <v>1000</v>
      </c>
      <c r="I59" s="379"/>
      <c r="J59" s="379"/>
      <c r="K59" s="379"/>
    </row>
    <row r="60" ht="21" customHeight="1" spans="3:14">
      <c r="C60" s="948"/>
      <c r="D60" t="s">
        <v>470</v>
      </c>
      <c r="E60" s="2" t="s">
        <v>471</v>
      </c>
      <c r="F60" s="972">
        <v>2</v>
      </c>
      <c r="G60" s="943">
        <v>800000</v>
      </c>
      <c r="H60" s="939">
        <f>F60*G60/10000</f>
        <v>160</v>
      </c>
      <c r="I60" s="379"/>
      <c r="J60" s="379"/>
      <c r="K60" s="379"/>
    </row>
    <row r="61" ht="18" spans="3:14">
      <c r="C61" s="948"/>
      <c r="D61" s="941" t="s">
        <v>472</v>
      </c>
      <c r="E61" s="942" t="s">
        <v>37</v>
      </c>
      <c r="F61" s="950">
        <v>1</v>
      </c>
      <c r="G61" s="943">
        <v>20000000</v>
      </c>
      <c r="H61" s="939">
        <f>F61*G61/10000</f>
        <v>2000</v>
      </c>
      <c r="I61" s="379"/>
      <c r="J61" s="379"/>
      <c r="K61" s="379"/>
    </row>
    <row r="62" spans="3:14">
      <c r="C62" s="948"/>
      <c r="D62" s="941"/>
      <c r="E62" s="942"/>
      <c r="F62" s="950"/>
      <c r="G62" s="943"/>
      <c r="H62" s="939">
        <f>F62*G62/10000</f>
        <v>0</v>
      </c>
      <c r="I62" s="379"/>
      <c r="J62" s="379"/>
      <c r="K62" s="379"/>
    </row>
    <row r="63" ht="18" spans="3:14">
      <c r="C63" s="948"/>
      <c r="D63" s="951" t="s">
        <v>473</v>
      </c>
      <c r="E63" s="952" t="s">
        <v>419</v>
      </c>
      <c r="F63" s="952"/>
      <c r="G63" s="953"/>
      <c r="H63" s="953">
        <f>SUM(H59:H62)</f>
        <v>3160</v>
      </c>
      <c r="I63" s="379"/>
      <c r="J63" s="379"/>
      <c r="K63" s="379"/>
    </row>
    <row r="64" spans="3:14">
      <c r="C64" s="948"/>
      <c r="D64" s="971"/>
      <c r="E64" s="211"/>
      <c r="F64" s="211"/>
      <c r="G64" s="967"/>
      <c r="H64" s="967"/>
      <c r="I64" s="379"/>
      <c r="J64" s="379"/>
      <c r="K64" s="379"/>
    </row>
    <row r="65" ht="20" spans="3:13">
      <c r="C65" s="940" t="s">
        <v>474</v>
      </c>
      <c r="D65" s="973" t="s">
        <v>475</v>
      </c>
      <c r="E65" s="942" t="s">
        <v>37</v>
      </c>
      <c r="F65" s="950">
        <v>1</v>
      </c>
      <c r="G65" s="943">
        <v>1400000</v>
      </c>
      <c r="H65" s="939">
        <f>F65*G65/10000</f>
        <v>140</v>
      </c>
      <c r="I65" s="379"/>
      <c r="J65" s="379"/>
      <c r="K65" s="379"/>
      <c r="L65" t="s">
        <v>476</v>
      </c>
      <c r="M65" t="s">
        <v>477</v>
      </c>
    </row>
    <row r="66" ht="20" spans="3:13">
      <c r="C66" s="948"/>
      <c r="D66" s="973" t="s">
        <v>478</v>
      </c>
      <c r="E66" s="942" t="s">
        <v>37</v>
      </c>
      <c r="F66" s="950">
        <v>1</v>
      </c>
      <c r="G66" s="943">
        <v>1000000</v>
      </c>
      <c r="H66" s="939">
        <f>F66*G66/10000</f>
        <v>100</v>
      </c>
      <c r="I66" s="379"/>
      <c r="J66" s="379"/>
      <c r="K66" s="379"/>
      <c r="L66" t="s">
        <v>476</v>
      </c>
      <c r="M66" t="s">
        <v>477</v>
      </c>
    </row>
    <row r="67" ht="20" spans="3:13">
      <c r="C67" s="948"/>
      <c r="D67" s="973" t="s">
        <v>479</v>
      </c>
      <c r="E67" s="942" t="s">
        <v>37</v>
      </c>
      <c r="F67" s="950">
        <v>1</v>
      </c>
      <c r="G67" s="943">
        <v>400000</v>
      </c>
      <c r="H67" s="939">
        <f>F67*G67/10000</f>
        <v>40</v>
      </c>
      <c r="I67" s="379"/>
      <c r="J67" s="379"/>
      <c r="K67" s="379"/>
      <c r="L67" t="s">
        <v>476</v>
      </c>
      <c r="M67" t="s">
        <v>477</v>
      </c>
    </row>
    <row r="68" ht="18" spans="3:13">
      <c r="C68" s="948"/>
      <c r="D68" s="941" t="s">
        <v>480</v>
      </c>
      <c r="E68" s="942" t="s">
        <v>37</v>
      </c>
      <c r="F68" s="950">
        <v>1</v>
      </c>
      <c r="G68" s="943">
        <v>30000000</v>
      </c>
      <c r="H68" s="939">
        <f>F68*G68/10000</f>
        <v>3000</v>
      </c>
      <c r="I68" s="379"/>
      <c r="J68" s="379"/>
      <c r="K68" s="379"/>
      <c r="L68" t="s">
        <v>476</v>
      </c>
      <c r="M68" t="s">
        <v>477</v>
      </c>
    </row>
    <row r="69" ht="18" spans="3:13">
      <c r="C69" s="948"/>
      <c r="D69" s="951" t="s">
        <v>481</v>
      </c>
      <c r="E69" s="952" t="s">
        <v>419</v>
      </c>
      <c r="F69" s="952"/>
      <c r="G69" s="953"/>
      <c r="H69" s="953">
        <f>SUM(H65:H68)</f>
        <v>3280</v>
      </c>
      <c r="I69" s="379"/>
      <c r="J69" s="379"/>
      <c r="K69" s="379"/>
    </row>
    <row r="70" spans="3:13">
      <c r="C70" s="948"/>
      <c r="D70" s="974"/>
      <c r="E70" s="211"/>
      <c r="F70" s="211"/>
      <c r="G70" s="975"/>
      <c r="H70" s="975"/>
      <c r="I70" s="379"/>
      <c r="J70" s="379"/>
      <c r="K70" s="379"/>
    </row>
    <row r="71" ht="18" spans="3:13">
      <c r="C71" s="940" t="s">
        <v>482</v>
      </c>
      <c r="D71" s="158"/>
      <c r="E71" s="2"/>
      <c r="F71" s="379"/>
      <c r="G71" s="379"/>
      <c r="H71" s="379"/>
      <c r="I71" s="379"/>
      <c r="J71" s="379"/>
      <c r="K71" s="379"/>
    </row>
    <row r="72" spans="3:13">
      <c r="C72" s="976"/>
      <c r="D72" s="977" t="s">
        <v>188</v>
      </c>
      <c r="E72" s="2" t="s">
        <v>37</v>
      </c>
      <c r="F72" s="379">
        <v>1</v>
      </c>
      <c r="G72" s="379">
        <v>50</v>
      </c>
      <c r="H72" s="379"/>
      <c r="I72" s="379"/>
      <c r="J72" s="379"/>
      <c r="K72" s="379"/>
    </row>
    <row r="73" ht="18.75" spans="3:13">
      <c r="C73" s="976"/>
      <c r="D73" s="977" t="s">
        <v>189</v>
      </c>
      <c r="E73" s="211" t="s">
        <v>483</v>
      </c>
      <c r="F73" s="978">
        <v>780000000</v>
      </c>
      <c r="G73" s="944">
        <v>0.17</v>
      </c>
      <c r="H73" s="979">
        <f>G73*$F$84/10000</f>
        <v>13260</v>
      </c>
      <c r="I73" s="379"/>
      <c r="J73" s="379"/>
      <c r="K73" s="379"/>
    </row>
    <row r="74" ht="18.35" spans="3:13">
      <c r="C74" s="976"/>
      <c r="D74" s="980" t="s">
        <v>191</v>
      </c>
      <c r="E74" s="211"/>
      <c r="F74" s="211"/>
      <c r="G74" s="981">
        <v>2658</v>
      </c>
      <c r="H74" s="975"/>
      <c r="I74" s="379"/>
      <c r="J74" s="379"/>
      <c r="K74" s="379"/>
    </row>
    <row r="75" ht="18.35" spans="3:13">
      <c r="C75" s="976"/>
      <c r="D75" s="980" t="s">
        <v>484</v>
      </c>
      <c r="E75" s="211"/>
      <c r="F75" s="211"/>
      <c r="G75" s="982">
        <v>2957</v>
      </c>
      <c r="H75" s="975"/>
      <c r="I75" s="379"/>
      <c r="J75" s="379"/>
      <c r="K75" s="379"/>
    </row>
    <row r="76" ht="18.35" spans="3:13">
      <c r="C76" s="976"/>
      <c r="D76" s="983" t="s">
        <v>485</v>
      </c>
      <c r="E76" s="984"/>
      <c r="F76" s="984"/>
      <c r="G76" s="982">
        <v>1088</v>
      </c>
      <c r="H76" s="985"/>
      <c r="I76" s="986"/>
      <c r="J76" s="379"/>
      <c r="K76" s="379"/>
    </row>
    <row r="77" ht="18.35" spans="3:13">
      <c r="C77" s="976"/>
      <c r="D77" s="983" t="s">
        <v>486</v>
      </c>
      <c r="E77" s="211"/>
      <c r="F77" s="211"/>
      <c r="G77" s="982">
        <v>648</v>
      </c>
      <c r="H77" s="975"/>
      <c r="I77" s="379"/>
      <c r="J77" s="379"/>
      <c r="K77" s="379"/>
    </row>
    <row r="78" ht="18.35" spans="3:13">
      <c r="C78" s="976"/>
      <c r="D78" s="983" t="s">
        <v>487</v>
      </c>
      <c r="E78" s="211"/>
      <c r="F78" s="211"/>
      <c r="G78" s="982">
        <v>382</v>
      </c>
      <c r="H78" s="975"/>
      <c r="I78" s="379"/>
      <c r="J78" s="379"/>
      <c r="K78" s="379"/>
    </row>
    <row r="79" ht="18.35" spans="3:13">
      <c r="C79" s="976"/>
      <c r="D79" s="983" t="s">
        <v>488</v>
      </c>
      <c r="E79" s="211"/>
      <c r="F79" s="211"/>
      <c r="G79" s="982">
        <v>277</v>
      </c>
      <c r="H79" s="975"/>
      <c r="I79" s="379"/>
      <c r="J79" s="379"/>
      <c r="K79" s="379"/>
    </row>
    <row r="80" ht="18.35" spans="3:13">
      <c r="C80" s="976"/>
      <c r="D80" s="983" t="s">
        <v>489</v>
      </c>
      <c r="E80" s="211"/>
      <c r="F80" s="211"/>
      <c r="G80" s="982">
        <v>868</v>
      </c>
      <c r="H80" s="975"/>
      <c r="I80" s="379"/>
      <c r="J80" s="379"/>
      <c r="K80" s="379"/>
    </row>
    <row r="81" ht="18.35" spans="3:14">
      <c r="C81" s="976"/>
      <c r="D81" s="983" t="s">
        <v>490</v>
      </c>
      <c r="E81" s="211"/>
      <c r="F81" s="211"/>
      <c r="G81" s="982">
        <v>541</v>
      </c>
      <c r="H81" s="975"/>
      <c r="I81" s="379"/>
      <c r="J81" s="379"/>
      <c r="K81" s="379"/>
    </row>
    <row r="82" ht="18" spans="3:14">
      <c r="C82" s="948"/>
      <c r="D82" s="938" t="s">
        <v>207</v>
      </c>
      <c r="E82" s="173" t="s">
        <v>419</v>
      </c>
      <c r="F82" s="987">
        <v>1</v>
      </c>
      <c r="G82" s="943">
        <f>假设及结论!K21*10000</f>
        <v>335294.4</v>
      </c>
      <c r="H82" s="939">
        <f>F82*G82/10000</f>
        <v>33.52944</v>
      </c>
      <c r="I82" s="379"/>
      <c r="J82" s="379"/>
      <c r="K82" s="379"/>
    </row>
    <row r="83" ht="18" spans="3:14">
      <c r="C83" s="948"/>
      <c r="D83" s="988"/>
      <c r="E83" s="952" t="s">
        <v>419</v>
      </c>
      <c r="F83" s="952"/>
      <c r="G83" s="989"/>
      <c r="H83" s="953">
        <f>H70+H73</f>
        <v>13260</v>
      </c>
      <c r="I83" s="379"/>
      <c r="J83" s="379"/>
      <c r="K83" s="379"/>
    </row>
    <row r="84" ht="43" customHeight="1" spans="3:14">
      <c r="C84" s="940" t="s">
        <v>491</v>
      </c>
      <c r="D84" s="158" t="s">
        <v>492</v>
      </c>
      <c r="E84" s="990" t="s">
        <v>483</v>
      </c>
      <c r="F84" s="978">
        <v>780000000</v>
      </c>
      <c r="G84" s="944">
        <v>0.2</v>
      </c>
      <c r="H84" s="979">
        <f>G84*$F$84/10000</f>
        <v>15600</v>
      </c>
      <c r="I84" s="379"/>
      <c r="J84" s="379"/>
      <c r="K84" s="379"/>
      <c r="L84" s="991" t="s">
        <v>493</v>
      </c>
      <c r="M84" s="991"/>
    </row>
    <row r="85" ht="38" customHeight="1" spans="3:14">
      <c r="C85" s="976"/>
      <c r="D85" s="158" t="s">
        <v>494</v>
      </c>
      <c r="E85" s="990" t="s">
        <v>483</v>
      </c>
      <c r="F85" s="978"/>
      <c r="G85" s="944">
        <v>0.05</v>
      </c>
      <c r="H85" s="979">
        <f>G85*$F$84/10000</f>
        <v>3900</v>
      </c>
      <c r="I85" s="379"/>
      <c r="J85" s="379"/>
      <c r="K85" s="379"/>
      <c r="L85" s="991" t="s">
        <v>495</v>
      </c>
      <c r="M85" s="991"/>
    </row>
    <row r="86" ht="18" spans="3:14">
      <c r="C86" s="948"/>
      <c r="D86" s="951" t="s">
        <v>496</v>
      </c>
      <c r="E86" s="952" t="s">
        <v>419</v>
      </c>
      <c r="F86" s="952"/>
      <c r="G86" s="953"/>
      <c r="H86" s="953">
        <f>H84+H85</f>
        <v>19500</v>
      </c>
      <c r="I86" s="379"/>
      <c r="J86" s="379"/>
      <c r="K86" s="379"/>
    </row>
    <row r="87" spans="3:14">
      <c r="C87" s="948"/>
      <c r="D87" s="974"/>
      <c r="E87" s="211"/>
      <c r="F87" s="211"/>
      <c r="G87" s="975"/>
      <c r="H87" s="975"/>
      <c r="I87" s="379"/>
      <c r="J87" s="379"/>
      <c r="K87" s="379"/>
    </row>
    <row r="88" ht="18" spans="3:14">
      <c r="C88" s="992" t="s">
        <v>243</v>
      </c>
      <c r="D88" s="993" t="s">
        <v>497</v>
      </c>
      <c r="E88" s="994" t="e">
        <f>H88+K88</f>
        <v>#REF!</v>
      </c>
      <c r="F88" s="941"/>
      <c r="G88" s="948" t="s">
        <v>498</v>
      </c>
      <c r="H88" s="995" t="e">
        <f>#REF!+H16+H26+H43+H50+H57+H63+H69+H83+H86</f>
        <v>#REF!</v>
      </c>
      <c r="I88" s="996"/>
      <c r="J88" s="996" t="s">
        <v>499</v>
      </c>
      <c r="K88" s="954">
        <f>K16+K43</f>
        <v>18963.43</v>
      </c>
      <c r="M88" t="s">
        <v>500</v>
      </c>
      <c r="N88" s="995" t="e">
        <f>#REF!+N16+N26+N43+N50+N57+N63+N69+N72+N86</f>
        <v>#REF!</v>
      </c>
    </row>
    <row r="91" spans="3:14">
      <c r="F91" s="997"/>
    </row>
    <row r="99" ht="18" spans="3:3">
      <c r="C99" s="998" t="s">
        <v>501</v>
      </c>
    </row>
    <row r="100" spans="3:3">
      <c r="C100" s="930" t="s">
        <v>170</v>
      </c>
    </row>
    <row r="101" spans="3:3">
      <c r="C101" s="930" t="s">
        <v>169</v>
      </c>
    </row>
  </sheetData>
  <mergeCells count="6">
    <mergeCell ref="D4:I4"/>
    <mergeCell ref="J4:K4"/>
    <mergeCell ref="M4:N4"/>
    <mergeCell ref="M6:N6"/>
    <mergeCell ref="L84:M84"/>
    <mergeCell ref="L85:M85"/>
  </mergeCell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119"/>
  <sheetViews>
    <sheetView workbookViewId="0">
      <selection activeCell="I39" sqref="I39:I63"/>
    </sheetView>
  </sheetViews>
  <sheetFormatPr defaultColWidth="9.14285714285714" defaultRowHeight="17.6"/>
  <cols>
    <col min="1" max="1" width="3.125" style="883" customWidth="1"/>
    <col min="2" max="2" width="9.14285714285714" style="882"/>
    <col min="3" max="3" width="39.8839285714286" style="884" customWidth="1"/>
    <col min="4" max="4" width="33.625" style="882" customWidth="1"/>
    <col min="5" max="5" width="9.14285714285714" style="882"/>
    <col min="6" max="6" width="15.4642857142857" style="883" customWidth="1"/>
    <col min="7" max="7" width="15.4732142857143" style="882" customWidth="1"/>
    <col min="8" max="8" width="19.1964285714286" style="882" customWidth="1"/>
    <col min="9" max="9" width="11.75" style="883" customWidth="1"/>
    <col min="10" max="16384" width="9.14285714285714" style="883"/>
  </cols>
  <sheetData>
    <row r="2" ht="19.2" spans="2:9">
      <c r="B2" s="885" t="s">
        <v>502</v>
      </c>
      <c r="C2" s="886"/>
      <c r="D2" s="887"/>
      <c r="E2" s="887"/>
      <c r="F2" s="887"/>
      <c r="G2" s="887"/>
      <c r="H2" s="887"/>
      <c r="I2" s="887"/>
    </row>
    <row r="3" s="882" customFormat="1" ht="68" spans="2:9">
      <c r="B3" s="888" t="s">
        <v>503</v>
      </c>
      <c r="C3" s="888" t="s">
        <v>504</v>
      </c>
      <c r="D3" s="888" t="s">
        <v>505</v>
      </c>
      <c r="E3" s="888" t="s">
        <v>506</v>
      </c>
      <c r="F3" s="888" t="s">
        <v>507</v>
      </c>
      <c r="G3" s="888" t="s">
        <v>508</v>
      </c>
      <c r="H3" s="888" t="s">
        <v>509</v>
      </c>
      <c r="I3" s="888" t="s">
        <v>510</v>
      </c>
    </row>
    <row r="4" ht="34" spans="2:9">
      <c r="B4" s="889" t="s">
        <v>511</v>
      </c>
      <c r="C4" s="890" t="s">
        <v>512</v>
      </c>
      <c r="D4" s="891"/>
      <c r="E4" s="891"/>
      <c r="F4" s="892"/>
      <c r="G4" s="891"/>
      <c r="H4" s="891"/>
      <c r="I4" s="892"/>
    </row>
    <row r="5" ht="51" spans="2:9">
      <c r="B5" s="888">
        <v>1</v>
      </c>
      <c r="C5" s="893" t="s">
        <v>513</v>
      </c>
      <c r="D5" s="888" t="s">
        <v>514</v>
      </c>
      <c r="E5" s="888" t="s">
        <v>515</v>
      </c>
      <c r="F5" s="894">
        <v>750000000</v>
      </c>
      <c r="G5" s="888">
        <v>0.02</v>
      </c>
      <c r="H5" s="895">
        <f t="shared" ref="H5:H15" si="0">F5*G5/10000</f>
        <v>1500</v>
      </c>
      <c r="I5" s="896" t="s">
        <v>516</v>
      </c>
    </row>
    <row r="6" ht="269" spans="2:9">
      <c r="B6" s="888">
        <v>2</v>
      </c>
      <c r="C6" s="893" t="s">
        <v>517</v>
      </c>
      <c r="D6" s="888" t="s">
        <v>514</v>
      </c>
      <c r="E6" s="888" t="s">
        <v>515</v>
      </c>
      <c r="F6" s="894">
        <v>750000000</v>
      </c>
      <c r="G6" s="888">
        <v>0.1</v>
      </c>
      <c r="H6" s="895">
        <f t="shared" si="0"/>
        <v>7500</v>
      </c>
      <c r="I6" s="897"/>
    </row>
    <row r="7" ht="34" spans="2:9">
      <c r="B7" s="888">
        <v>3</v>
      </c>
      <c r="C7" s="893" t="s">
        <v>518</v>
      </c>
      <c r="D7" s="888" t="s">
        <v>514</v>
      </c>
      <c r="E7" s="888" t="s">
        <v>515</v>
      </c>
      <c r="F7" s="894">
        <v>750000000</v>
      </c>
      <c r="G7" s="888">
        <v>0.005</v>
      </c>
      <c r="H7" s="895">
        <f t="shared" si="0"/>
        <v>375</v>
      </c>
      <c r="I7" s="897"/>
    </row>
    <row r="8" ht="152" spans="2:9">
      <c r="B8" s="888">
        <v>4</v>
      </c>
      <c r="C8" s="898" t="s">
        <v>519</v>
      </c>
      <c r="D8" s="888" t="s">
        <v>514</v>
      </c>
      <c r="E8" s="888" t="s">
        <v>515</v>
      </c>
      <c r="F8" s="894">
        <v>750000000</v>
      </c>
      <c r="G8" s="888">
        <v>0.01</v>
      </c>
      <c r="H8" s="895">
        <f t="shared" si="0"/>
        <v>750</v>
      </c>
      <c r="I8" s="897"/>
    </row>
    <row r="9" ht="101" spans="2:9">
      <c r="B9" s="888">
        <v>5</v>
      </c>
      <c r="C9" s="898" t="s">
        <v>520</v>
      </c>
      <c r="D9" s="888" t="s">
        <v>514</v>
      </c>
      <c r="E9" s="888" t="s">
        <v>515</v>
      </c>
      <c r="F9" s="894">
        <v>750000000</v>
      </c>
      <c r="G9" s="888">
        <v>0.005</v>
      </c>
      <c r="H9" s="895">
        <f t="shared" si="0"/>
        <v>375</v>
      </c>
      <c r="I9" s="897"/>
    </row>
    <row r="10" ht="101" spans="2:9">
      <c r="B10" s="888">
        <v>6</v>
      </c>
      <c r="C10" s="898" t="s">
        <v>521</v>
      </c>
      <c r="D10" s="888" t="s">
        <v>514</v>
      </c>
      <c r="E10" s="888" t="s">
        <v>515</v>
      </c>
      <c r="F10" s="894">
        <v>750000000</v>
      </c>
      <c r="G10" s="888">
        <v>0.005</v>
      </c>
      <c r="H10" s="895">
        <f t="shared" si="0"/>
        <v>375</v>
      </c>
      <c r="I10" s="897"/>
    </row>
    <row r="11" ht="51" spans="2:9">
      <c r="B11" s="888">
        <v>7</v>
      </c>
      <c r="C11" s="898" t="s">
        <v>522</v>
      </c>
      <c r="D11" s="888" t="s">
        <v>514</v>
      </c>
      <c r="E11" s="888" t="s">
        <v>515</v>
      </c>
      <c r="F11" s="894">
        <v>750000000</v>
      </c>
      <c r="G11" s="888">
        <v>0.02</v>
      </c>
      <c r="H11" s="895">
        <f t="shared" si="0"/>
        <v>1500</v>
      </c>
      <c r="I11" s="897"/>
    </row>
    <row r="12" ht="68" spans="2:9">
      <c r="B12" s="888">
        <v>8</v>
      </c>
      <c r="C12" s="898" t="s">
        <v>523</v>
      </c>
      <c r="D12" s="888" t="s">
        <v>514</v>
      </c>
      <c r="E12" s="888" t="s">
        <v>515</v>
      </c>
      <c r="F12" s="894">
        <v>750000000</v>
      </c>
      <c r="G12" s="888">
        <v>0.01</v>
      </c>
      <c r="H12" s="895">
        <f t="shared" si="0"/>
        <v>750</v>
      </c>
      <c r="I12" s="897"/>
    </row>
    <row r="13" ht="51" spans="2:9">
      <c r="B13" s="888">
        <v>9</v>
      </c>
      <c r="C13" s="898" t="s">
        <v>524</v>
      </c>
      <c r="D13" s="888" t="s">
        <v>514</v>
      </c>
      <c r="E13" s="888" t="s">
        <v>515</v>
      </c>
      <c r="F13" s="894">
        <v>750000000</v>
      </c>
      <c r="G13" s="888">
        <v>0.01</v>
      </c>
      <c r="H13" s="895">
        <f t="shared" si="0"/>
        <v>750</v>
      </c>
      <c r="I13" s="897"/>
    </row>
    <row r="14" ht="84" spans="2:9">
      <c r="B14" s="888">
        <v>10</v>
      </c>
      <c r="C14" s="898" t="s">
        <v>525</v>
      </c>
      <c r="D14" s="888" t="s">
        <v>514</v>
      </c>
      <c r="E14" s="888" t="s">
        <v>515</v>
      </c>
      <c r="F14" s="894">
        <v>750000000</v>
      </c>
      <c r="G14" s="888">
        <v>0.01</v>
      </c>
      <c r="H14" s="895">
        <f t="shared" si="0"/>
        <v>750</v>
      </c>
      <c r="I14" s="897"/>
    </row>
    <row r="15" ht="34" spans="2:9">
      <c r="B15" s="888">
        <v>11</v>
      </c>
      <c r="C15" s="893" t="s">
        <v>526</v>
      </c>
      <c r="D15" s="888"/>
      <c r="E15" s="888"/>
      <c r="F15" s="894">
        <v>750000000</v>
      </c>
      <c r="G15" s="888">
        <v>0.005</v>
      </c>
      <c r="H15" s="895">
        <f t="shared" si="0"/>
        <v>375</v>
      </c>
      <c r="I15" s="897"/>
    </row>
    <row r="16" ht="34" spans="2:9">
      <c r="B16" s="899">
        <v>12</v>
      </c>
      <c r="C16" s="900" t="s">
        <v>527</v>
      </c>
      <c r="D16" s="899"/>
      <c r="E16" s="899"/>
      <c r="F16" s="901"/>
      <c r="G16" s="899"/>
      <c r="H16" s="902">
        <f>SUM(H5:H15)</f>
        <v>15000</v>
      </c>
      <c r="I16" s="901"/>
    </row>
    <row r="17" ht="34" spans="2:9">
      <c r="B17" s="889" t="s">
        <v>528</v>
      </c>
      <c r="C17" s="890" t="s">
        <v>529</v>
      </c>
      <c r="D17" s="891"/>
      <c r="E17" s="891"/>
      <c r="F17" s="892"/>
      <c r="G17" s="891"/>
      <c r="H17" s="903"/>
      <c r="I17" s="892"/>
    </row>
    <row r="18" ht="34" spans="2:9">
      <c r="B18" s="888">
        <v>1</v>
      </c>
      <c r="C18" s="893" t="s">
        <v>530</v>
      </c>
      <c r="D18" s="888" t="s">
        <v>514</v>
      </c>
      <c r="E18" s="888" t="s">
        <v>515</v>
      </c>
      <c r="F18" s="894">
        <v>750000000</v>
      </c>
      <c r="G18" s="888">
        <v>0.03</v>
      </c>
      <c r="H18" s="895">
        <f t="shared" ref="H18:H36" si="1">F18*G18/10000</f>
        <v>2250</v>
      </c>
      <c r="I18" s="897" t="s">
        <v>516</v>
      </c>
    </row>
    <row r="19" ht="84" spans="2:9">
      <c r="B19" s="888">
        <v>2</v>
      </c>
      <c r="C19" s="893" t="s">
        <v>531</v>
      </c>
      <c r="D19" s="888" t="s">
        <v>514</v>
      </c>
      <c r="E19" s="888" t="s">
        <v>515</v>
      </c>
      <c r="F19" s="894">
        <v>750000000</v>
      </c>
      <c r="G19" s="888">
        <v>0.02</v>
      </c>
      <c r="H19" s="895">
        <f t="shared" si="1"/>
        <v>1500</v>
      </c>
      <c r="I19" s="897"/>
    </row>
    <row r="20" ht="34" spans="2:9">
      <c r="B20" s="888">
        <v>3</v>
      </c>
      <c r="C20" s="893" t="s">
        <v>532</v>
      </c>
      <c r="D20" s="888" t="s">
        <v>514</v>
      </c>
      <c r="E20" s="888" t="s">
        <v>515</v>
      </c>
      <c r="F20" s="894">
        <v>750000000</v>
      </c>
      <c r="G20" s="888">
        <v>0.02</v>
      </c>
      <c r="H20" s="895">
        <f t="shared" si="1"/>
        <v>1500</v>
      </c>
      <c r="I20" s="897"/>
    </row>
    <row r="21" ht="84" spans="2:9">
      <c r="B21" s="888">
        <v>4</v>
      </c>
      <c r="C21" s="898" t="s">
        <v>533</v>
      </c>
      <c r="D21" s="888" t="s">
        <v>534</v>
      </c>
      <c r="E21" s="888" t="s">
        <v>515</v>
      </c>
      <c r="F21" s="894">
        <v>750000000</v>
      </c>
      <c r="G21" s="888">
        <v>0.1</v>
      </c>
      <c r="H21" s="895">
        <f t="shared" si="1"/>
        <v>7500</v>
      </c>
      <c r="I21" s="897"/>
    </row>
    <row r="22" ht="84" spans="2:9">
      <c r="B22" s="888">
        <v>5</v>
      </c>
      <c r="C22" s="898" t="s">
        <v>535</v>
      </c>
      <c r="D22" s="888" t="s">
        <v>536</v>
      </c>
      <c r="E22" s="888" t="s">
        <v>515</v>
      </c>
      <c r="F22" s="894">
        <v>750000000</v>
      </c>
      <c r="G22" s="888">
        <v>0.03</v>
      </c>
      <c r="H22" s="895">
        <f t="shared" si="1"/>
        <v>2250</v>
      </c>
      <c r="I22" s="897"/>
    </row>
    <row r="23" ht="101" spans="2:9">
      <c r="B23" s="888">
        <v>6</v>
      </c>
      <c r="C23" s="898" t="s">
        <v>537</v>
      </c>
      <c r="D23" s="888" t="s">
        <v>538</v>
      </c>
      <c r="E23" s="888" t="s">
        <v>515</v>
      </c>
      <c r="F23" s="894">
        <v>750000000</v>
      </c>
      <c r="G23" s="888">
        <v>0.02</v>
      </c>
      <c r="H23" s="895">
        <f t="shared" si="1"/>
        <v>1500</v>
      </c>
      <c r="I23" s="897"/>
    </row>
    <row r="24" ht="34" spans="2:9">
      <c r="B24" s="888">
        <v>7</v>
      </c>
      <c r="C24" s="893" t="s">
        <v>539</v>
      </c>
      <c r="D24" s="888" t="s">
        <v>540</v>
      </c>
      <c r="E24" s="888" t="s">
        <v>515</v>
      </c>
      <c r="F24" s="894">
        <v>750000000</v>
      </c>
      <c r="G24" s="888">
        <v>0.01</v>
      </c>
      <c r="H24" s="895">
        <f t="shared" si="1"/>
        <v>750</v>
      </c>
      <c r="I24" s="897"/>
    </row>
    <row r="25" ht="51" spans="2:9">
      <c r="B25" s="888">
        <v>8</v>
      </c>
      <c r="C25" s="898" t="s">
        <v>541</v>
      </c>
      <c r="D25" s="888" t="s">
        <v>542</v>
      </c>
      <c r="E25" s="888" t="s">
        <v>515</v>
      </c>
      <c r="F25" s="894">
        <v>750000000</v>
      </c>
      <c r="G25" s="888">
        <v>0.01</v>
      </c>
      <c r="H25" s="895">
        <f t="shared" si="1"/>
        <v>750</v>
      </c>
      <c r="I25" s="897"/>
    </row>
    <row r="26" ht="51" spans="2:9">
      <c r="B26" s="888">
        <v>9</v>
      </c>
      <c r="C26" s="898" t="s">
        <v>543</v>
      </c>
      <c r="D26" s="888" t="s">
        <v>514</v>
      </c>
      <c r="E26" s="888" t="s">
        <v>515</v>
      </c>
      <c r="F26" s="894">
        <v>750000000</v>
      </c>
      <c r="G26" s="888">
        <v>0.02</v>
      </c>
      <c r="H26" s="895">
        <f t="shared" si="1"/>
        <v>1500</v>
      </c>
      <c r="I26" s="897"/>
    </row>
    <row r="27" ht="51" spans="2:9">
      <c r="B27" s="888">
        <v>10</v>
      </c>
      <c r="C27" s="898" t="s">
        <v>544</v>
      </c>
      <c r="D27" s="888" t="s">
        <v>514</v>
      </c>
      <c r="E27" s="888" t="s">
        <v>515</v>
      </c>
      <c r="F27" s="894">
        <v>750000000</v>
      </c>
      <c r="G27" s="888">
        <v>0.02</v>
      </c>
      <c r="H27" s="895">
        <f t="shared" si="1"/>
        <v>1500</v>
      </c>
      <c r="I27" s="897"/>
    </row>
    <row r="28" ht="84" spans="2:9">
      <c r="B28" s="888">
        <v>11</v>
      </c>
      <c r="C28" s="898" t="s">
        <v>545</v>
      </c>
      <c r="D28" s="888" t="s">
        <v>514</v>
      </c>
      <c r="E28" s="888" t="s">
        <v>515</v>
      </c>
      <c r="F28" s="894">
        <v>750000000</v>
      </c>
      <c r="G28" s="888">
        <v>0.01</v>
      </c>
      <c r="H28" s="895">
        <f t="shared" si="1"/>
        <v>750</v>
      </c>
      <c r="I28" s="897"/>
    </row>
    <row r="29" ht="51" spans="2:9">
      <c r="B29" s="888">
        <v>12</v>
      </c>
      <c r="C29" s="893" t="s">
        <v>546</v>
      </c>
      <c r="D29" s="888" t="s">
        <v>514</v>
      </c>
      <c r="E29" s="888" t="s">
        <v>515</v>
      </c>
      <c r="F29" s="894">
        <v>750000000</v>
      </c>
      <c r="G29" s="888">
        <v>0.03</v>
      </c>
      <c r="H29" s="895">
        <f t="shared" si="1"/>
        <v>2250</v>
      </c>
      <c r="I29" s="897"/>
    </row>
    <row r="30" ht="34" spans="2:9">
      <c r="B30" s="888">
        <v>13</v>
      </c>
      <c r="C30" s="893" t="s">
        <v>547</v>
      </c>
      <c r="D30" s="888" t="s">
        <v>514</v>
      </c>
      <c r="E30" s="888" t="s">
        <v>515</v>
      </c>
      <c r="F30" s="894">
        <v>750000000</v>
      </c>
      <c r="G30" s="888">
        <v>0.005</v>
      </c>
      <c r="H30" s="895">
        <f t="shared" si="1"/>
        <v>375</v>
      </c>
      <c r="I30" s="897"/>
    </row>
    <row r="31" ht="101" spans="2:9">
      <c r="B31" s="888">
        <v>14</v>
      </c>
      <c r="C31" s="893" t="s">
        <v>548</v>
      </c>
      <c r="D31" s="888" t="s">
        <v>514</v>
      </c>
      <c r="E31" s="888" t="s">
        <v>515</v>
      </c>
      <c r="F31" s="894">
        <v>750000000</v>
      </c>
      <c r="G31" s="888">
        <v>0.12</v>
      </c>
      <c r="H31" s="895">
        <f t="shared" si="1"/>
        <v>9000</v>
      </c>
      <c r="I31" s="897"/>
    </row>
    <row r="32" ht="168" spans="2:9">
      <c r="B32" s="888">
        <v>15</v>
      </c>
      <c r="C32" s="898" t="s">
        <v>549</v>
      </c>
      <c r="D32" s="888" t="s">
        <v>514</v>
      </c>
      <c r="E32" s="888" t="s">
        <v>515</v>
      </c>
      <c r="F32" s="894">
        <v>750000000</v>
      </c>
      <c r="G32" s="888">
        <v>0.01</v>
      </c>
      <c r="H32" s="895">
        <f t="shared" si="1"/>
        <v>750</v>
      </c>
      <c r="I32" s="897"/>
    </row>
    <row r="33" ht="51" spans="2:9">
      <c r="B33" s="888">
        <v>16</v>
      </c>
      <c r="C33" s="898" t="s">
        <v>550</v>
      </c>
      <c r="D33" s="888" t="s">
        <v>514</v>
      </c>
      <c r="E33" s="888" t="s">
        <v>515</v>
      </c>
      <c r="F33" s="894">
        <v>750000000</v>
      </c>
      <c r="G33" s="888">
        <v>0.02</v>
      </c>
      <c r="H33" s="895">
        <f t="shared" si="1"/>
        <v>1500</v>
      </c>
      <c r="I33" s="897"/>
    </row>
    <row r="34" ht="34" spans="2:9">
      <c r="B34" s="888">
        <v>17</v>
      </c>
      <c r="C34" s="893" t="s">
        <v>551</v>
      </c>
      <c r="D34" s="888"/>
      <c r="E34" s="888" t="s">
        <v>515</v>
      </c>
      <c r="F34" s="894">
        <v>750000000</v>
      </c>
      <c r="G34" s="888">
        <v>0.01</v>
      </c>
      <c r="H34" s="895">
        <f t="shared" si="1"/>
        <v>750</v>
      </c>
      <c r="I34" s="897"/>
    </row>
    <row r="35" ht="34" spans="2:9">
      <c r="B35" s="888">
        <v>18</v>
      </c>
      <c r="C35" s="893" t="s">
        <v>552</v>
      </c>
      <c r="D35" s="888"/>
      <c r="E35" s="888" t="s">
        <v>515</v>
      </c>
      <c r="F35" s="894">
        <v>750000000</v>
      </c>
      <c r="G35" s="888">
        <v>0.02</v>
      </c>
      <c r="H35" s="895">
        <f t="shared" si="1"/>
        <v>1500</v>
      </c>
      <c r="I35" s="897"/>
    </row>
    <row r="36" ht="34" spans="2:9">
      <c r="B36" s="888">
        <v>19</v>
      </c>
      <c r="C36" s="893" t="s">
        <v>553</v>
      </c>
      <c r="D36" s="888"/>
      <c r="E36" s="888" t="s">
        <v>515</v>
      </c>
      <c r="F36" s="894">
        <v>750000000</v>
      </c>
      <c r="G36" s="888">
        <v>0.01</v>
      </c>
      <c r="H36" s="895">
        <f t="shared" si="1"/>
        <v>750</v>
      </c>
      <c r="I36" s="897"/>
    </row>
    <row r="37" ht="34" spans="2:9">
      <c r="B37" s="899">
        <v>20</v>
      </c>
      <c r="C37" s="900" t="s">
        <v>554</v>
      </c>
      <c r="D37" s="899"/>
      <c r="E37" s="899"/>
      <c r="F37" s="901"/>
      <c r="G37" s="899"/>
      <c r="H37" s="902">
        <f>SUM(H18:H36)</f>
        <v>38625</v>
      </c>
      <c r="I37" s="901"/>
    </row>
    <row r="38" ht="34" spans="2:9">
      <c r="B38" s="889" t="s">
        <v>555</v>
      </c>
      <c r="C38" s="890" t="s">
        <v>556</v>
      </c>
      <c r="D38" s="891"/>
      <c r="E38" s="891"/>
      <c r="F38" s="892"/>
      <c r="G38" s="891"/>
      <c r="H38" s="891"/>
      <c r="I38" s="892"/>
    </row>
    <row r="39" ht="101" spans="2:9">
      <c r="B39" s="888">
        <v>1</v>
      </c>
      <c r="C39" s="898" t="s">
        <v>557</v>
      </c>
      <c r="D39" s="888" t="s">
        <v>558</v>
      </c>
      <c r="E39" s="888" t="s">
        <v>515</v>
      </c>
      <c r="F39" s="894">
        <v>750000000</v>
      </c>
      <c r="G39" s="888">
        <v>0.037</v>
      </c>
      <c r="H39" s="895">
        <f t="shared" ref="H39:H58" si="2">F39*G39/10000</f>
        <v>2775</v>
      </c>
      <c r="I39" s="904" t="s">
        <v>516</v>
      </c>
    </row>
    <row r="40" ht="34" spans="2:9">
      <c r="B40" s="888">
        <v>2</v>
      </c>
      <c r="C40" s="893" t="s">
        <v>559</v>
      </c>
      <c r="D40" s="888" t="s">
        <v>558</v>
      </c>
      <c r="E40" s="888"/>
      <c r="F40" s="894">
        <v>750000000</v>
      </c>
      <c r="G40" s="888">
        <v>0.011</v>
      </c>
      <c r="H40" s="895">
        <f t="shared" si="2"/>
        <v>825</v>
      </c>
      <c r="I40" s="905"/>
    </row>
    <row r="41" ht="135" spans="2:9">
      <c r="B41" s="888">
        <v>3</v>
      </c>
      <c r="C41" s="893" t="s">
        <v>560</v>
      </c>
      <c r="D41" s="888" t="s">
        <v>558</v>
      </c>
      <c r="E41" s="888" t="s">
        <v>515</v>
      </c>
      <c r="F41" s="894">
        <v>750000000</v>
      </c>
      <c r="G41" s="888">
        <v>0.015</v>
      </c>
      <c r="H41" s="895">
        <f t="shared" si="2"/>
        <v>1125</v>
      </c>
      <c r="I41" s="905"/>
    </row>
    <row r="42" ht="34" spans="2:9">
      <c r="B42" s="888">
        <v>4</v>
      </c>
      <c r="C42" s="893" t="s">
        <v>561</v>
      </c>
      <c r="D42" s="888" t="s">
        <v>558</v>
      </c>
      <c r="E42" s="888" t="s">
        <v>515</v>
      </c>
      <c r="F42" s="894">
        <v>750000000</v>
      </c>
      <c r="G42" s="888">
        <v>0.004</v>
      </c>
      <c r="H42" s="895">
        <f t="shared" si="2"/>
        <v>300</v>
      </c>
      <c r="I42" s="905"/>
    </row>
    <row r="43" ht="269" spans="2:9">
      <c r="B43" s="888">
        <v>5</v>
      </c>
      <c r="C43" s="898" t="s">
        <v>562</v>
      </c>
      <c r="D43" s="888" t="s">
        <v>558</v>
      </c>
      <c r="E43" s="888" t="s">
        <v>515</v>
      </c>
      <c r="F43" s="894">
        <v>750000000</v>
      </c>
      <c r="G43" s="888">
        <v>0.02</v>
      </c>
      <c r="H43" s="895">
        <f t="shared" si="2"/>
        <v>1500</v>
      </c>
      <c r="I43" s="905"/>
    </row>
    <row r="44" ht="286" spans="2:9">
      <c r="B44" s="888">
        <v>6</v>
      </c>
      <c r="C44" s="898" t="s">
        <v>563</v>
      </c>
      <c r="D44" s="888" t="s">
        <v>564</v>
      </c>
      <c r="E44" s="888" t="s">
        <v>515</v>
      </c>
      <c r="F44" s="894">
        <v>750000000</v>
      </c>
      <c r="G44" s="888">
        <v>0.013</v>
      </c>
      <c r="H44" s="895">
        <f t="shared" si="2"/>
        <v>975</v>
      </c>
      <c r="I44" s="905"/>
    </row>
    <row r="45" ht="118" spans="2:9">
      <c r="B45" s="888">
        <v>7</v>
      </c>
      <c r="C45" s="898" t="s">
        <v>565</v>
      </c>
      <c r="D45" s="888" t="s">
        <v>566</v>
      </c>
      <c r="E45" s="888" t="s">
        <v>515</v>
      </c>
      <c r="F45" s="894">
        <v>750000000</v>
      </c>
      <c r="G45" s="888">
        <v>0.008</v>
      </c>
      <c r="H45" s="895">
        <f t="shared" si="2"/>
        <v>600</v>
      </c>
      <c r="I45" s="905"/>
    </row>
    <row r="46" ht="252" spans="2:9">
      <c r="B46" s="888">
        <v>8</v>
      </c>
      <c r="C46" s="898" t="s">
        <v>567</v>
      </c>
      <c r="D46" s="888" t="s">
        <v>568</v>
      </c>
      <c r="E46" s="888" t="s">
        <v>515</v>
      </c>
      <c r="F46" s="894">
        <v>750000000</v>
      </c>
      <c r="G46" s="888">
        <v>0.035</v>
      </c>
      <c r="H46" s="895">
        <f t="shared" si="2"/>
        <v>2625</v>
      </c>
      <c r="I46" s="905"/>
    </row>
    <row r="47" ht="252" spans="2:9">
      <c r="B47" s="888">
        <v>9</v>
      </c>
      <c r="C47" s="898" t="s">
        <v>569</v>
      </c>
      <c r="D47" s="888" t="s">
        <v>558</v>
      </c>
      <c r="E47" s="888" t="s">
        <v>515</v>
      </c>
      <c r="F47" s="894">
        <v>750000000</v>
      </c>
      <c r="G47" s="888">
        <v>0.0267</v>
      </c>
      <c r="H47" s="895">
        <f t="shared" si="2"/>
        <v>2002.5</v>
      </c>
      <c r="I47" s="905"/>
    </row>
    <row r="48" ht="34" spans="2:9">
      <c r="B48" s="888">
        <v>10</v>
      </c>
      <c r="C48" s="898" t="s">
        <v>570</v>
      </c>
      <c r="D48" s="888" t="s">
        <v>564</v>
      </c>
      <c r="E48" s="888" t="s">
        <v>515</v>
      </c>
      <c r="F48" s="894">
        <v>750000000</v>
      </c>
      <c r="G48" s="888">
        <v>0.03</v>
      </c>
      <c r="H48" s="895">
        <f t="shared" si="2"/>
        <v>2250</v>
      </c>
      <c r="I48" s="905"/>
    </row>
    <row r="49" ht="135" spans="1:9">
      <c r="B49" s="888">
        <v>11</v>
      </c>
      <c r="C49" s="898" t="s">
        <v>571</v>
      </c>
      <c r="D49" s="888" t="s">
        <v>514</v>
      </c>
      <c r="E49" s="888" t="s">
        <v>515</v>
      </c>
      <c r="F49" s="894">
        <v>750000000</v>
      </c>
      <c r="G49" s="888">
        <v>0.011</v>
      </c>
      <c r="H49" s="895">
        <f t="shared" si="2"/>
        <v>825</v>
      </c>
      <c r="I49" s="905"/>
    </row>
    <row r="50" ht="34" spans="1:9">
      <c r="B50" s="888">
        <v>12</v>
      </c>
      <c r="C50" s="893" t="s">
        <v>572</v>
      </c>
      <c r="D50" s="888" t="s">
        <v>558</v>
      </c>
      <c r="E50" s="888" t="s">
        <v>515</v>
      </c>
      <c r="F50" s="894">
        <v>750000000</v>
      </c>
      <c r="G50" s="888">
        <v>0.013</v>
      </c>
      <c r="H50" s="895">
        <f t="shared" si="2"/>
        <v>975</v>
      </c>
      <c r="I50" s="905"/>
    </row>
    <row r="51" ht="51" spans="1:9">
      <c r="B51" s="888">
        <v>13</v>
      </c>
      <c r="C51" s="898" t="s">
        <v>573</v>
      </c>
      <c r="D51" s="888" t="s">
        <v>514</v>
      </c>
      <c r="E51" s="888" t="s">
        <v>515</v>
      </c>
      <c r="F51" s="894">
        <v>750000000</v>
      </c>
      <c r="G51" s="888">
        <v>0.033</v>
      </c>
      <c r="H51" s="895">
        <f t="shared" si="2"/>
        <v>2475</v>
      </c>
      <c r="I51" s="905"/>
    </row>
    <row r="52" ht="51" spans="1:9">
      <c r="B52" s="888">
        <v>14</v>
      </c>
      <c r="C52" s="898" t="s">
        <v>574</v>
      </c>
      <c r="D52" s="888" t="s">
        <v>514</v>
      </c>
      <c r="E52" s="888" t="s">
        <v>515</v>
      </c>
      <c r="F52" s="894">
        <v>750000000</v>
      </c>
      <c r="G52" s="888">
        <v>0.008</v>
      </c>
      <c r="H52" s="895">
        <f t="shared" si="2"/>
        <v>600</v>
      </c>
      <c r="I52" s="905"/>
    </row>
    <row r="53" ht="101" spans="1:9">
      <c r="B53" s="888">
        <v>15</v>
      </c>
      <c r="C53" s="898" t="s">
        <v>575</v>
      </c>
      <c r="D53" s="888" t="s">
        <v>576</v>
      </c>
      <c r="E53" s="888" t="s">
        <v>515</v>
      </c>
      <c r="F53" s="894">
        <v>750000000</v>
      </c>
      <c r="G53" s="888">
        <v>0.016</v>
      </c>
      <c r="H53" s="895">
        <f t="shared" si="2"/>
        <v>1200</v>
      </c>
      <c r="I53" s="905"/>
    </row>
    <row r="54" ht="51" spans="1:9">
      <c r="B54" s="888">
        <v>16</v>
      </c>
      <c r="C54" s="898" t="s">
        <v>577</v>
      </c>
      <c r="D54" s="888" t="s">
        <v>514</v>
      </c>
      <c r="E54" s="888" t="s">
        <v>515</v>
      </c>
      <c r="F54" s="894">
        <v>750000000</v>
      </c>
      <c r="G54" s="888">
        <v>0.0027</v>
      </c>
      <c r="H54" s="895">
        <f t="shared" si="2"/>
        <v>202.5</v>
      </c>
      <c r="I54" s="905"/>
    </row>
    <row r="55" ht="51" spans="1:9">
      <c r="B55" s="888">
        <v>17</v>
      </c>
      <c r="C55" s="898" t="s">
        <v>578</v>
      </c>
      <c r="D55" s="888" t="s">
        <v>579</v>
      </c>
      <c r="E55" s="888" t="s">
        <v>515</v>
      </c>
      <c r="F55" s="894">
        <v>750000000</v>
      </c>
      <c r="G55" s="888">
        <v>0.007</v>
      </c>
      <c r="H55" s="895">
        <f t="shared" si="2"/>
        <v>525</v>
      </c>
      <c r="I55" s="905"/>
    </row>
    <row r="56" ht="51" spans="1:9">
      <c r="B56" s="888">
        <v>18</v>
      </c>
      <c r="C56" s="898" t="s">
        <v>580</v>
      </c>
      <c r="D56" s="888" t="s">
        <v>581</v>
      </c>
      <c r="E56" s="888" t="s">
        <v>515</v>
      </c>
      <c r="F56" s="894">
        <v>750000000</v>
      </c>
      <c r="G56" s="888">
        <v>0.007</v>
      </c>
      <c r="H56" s="895">
        <f t="shared" si="2"/>
        <v>525</v>
      </c>
      <c r="I56" s="905"/>
    </row>
    <row r="57" ht="51" spans="1:9">
      <c r="B57" s="888">
        <v>19</v>
      </c>
      <c r="C57" s="898" t="s">
        <v>582</v>
      </c>
      <c r="D57" s="888" t="s">
        <v>558</v>
      </c>
      <c r="E57" s="888" t="s">
        <v>515</v>
      </c>
      <c r="F57" s="894">
        <v>750000000</v>
      </c>
      <c r="G57" s="888">
        <v>0.007</v>
      </c>
      <c r="H57" s="895">
        <f t="shared" si="2"/>
        <v>525</v>
      </c>
      <c r="I57" s="905"/>
    </row>
    <row r="58" ht="409" customHeight="1" spans="1:9">
      <c r="A58" s="882"/>
      <c r="B58" s="906">
        <v>20</v>
      </c>
      <c r="C58" s="896" t="s">
        <v>583</v>
      </c>
      <c r="D58" s="888" t="s">
        <v>514</v>
      </c>
      <c r="E58" s="888" t="s">
        <v>515</v>
      </c>
      <c r="F58" s="907">
        <v>750000000</v>
      </c>
      <c r="G58" s="888">
        <v>0.011</v>
      </c>
      <c r="H58" s="895">
        <f t="shared" si="2"/>
        <v>825</v>
      </c>
      <c r="I58" s="905"/>
    </row>
    <row r="59" ht="152" customHeight="1" spans="1:9">
      <c r="A59" s="882"/>
      <c r="B59" s="908"/>
      <c r="C59" s="897"/>
      <c r="D59" s="888"/>
      <c r="E59" s="888"/>
      <c r="F59" s="909"/>
      <c r="G59" s="888"/>
      <c r="H59" s="895"/>
      <c r="I59" s="905"/>
    </row>
    <row r="60" ht="101" spans="1:9">
      <c r="B60" s="910">
        <v>21</v>
      </c>
      <c r="C60" s="898" t="s">
        <v>584</v>
      </c>
      <c r="D60" s="888" t="s">
        <v>514</v>
      </c>
      <c r="E60" s="888" t="s">
        <v>515</v>
      </c>
      <c r="F60" s="894">
        <v>750000000</v>
      </c>
      <c r="G60" s="888">
        <v>0.013</v>
      </c>
      <c r="H60" s="895">
        <f t="shared" ref="H60:H63" si="3">F60*G60/10000</f>
        <v>975</v>
      </c>
      <c r="I60" s="905"/>
    </row>
    <row r="61" ht="34" spans="1:9">
      <c r="B61" s="888">
        <v>22</v>
      </c>
      <c r="C61" s="893" t="s">
        <v>551</v>
      </c>
      <c r="D61" s="888"/>
      <c r="E61" s="888" t="s">
        <v>515</v>
      </c>
      <c r="F61" s="894">
        <v>750000000</v>
      </c>
      <c r="G61" s="888">
        <v>0.027</v>
      </c>
      <c r="H61" s="895">
        <f t="shared" si="3"/>
        <v>2025</v>
      </c>
      <c r="I61" s="905"/>
    </row>
    <row r="62" ht="34" spans="1:9">
      <c r="B62" s="888">
        <v>23</v>
      </c>
      <c r="C62" s="893" t="s">
        <v>552</v>
      </c>
      <c r="D62" s="888"/>
      <c r="E62" s="888" t="s">
        <v>515</v>
      </c>
      <c r="F62" s="894">
        <v>750000000</v>
      </c>
      <c r="G62" s="888">
        <v>0.01</v>
      </c>
      <c r="H62" s="895">
        <f t="shared" si="3"/>
        <v>750</v>
      </c>
      <c r="I62" s="905"/>
    </row>
    <row r="63" ht="34" spans="1:9">
      <c r="B63" s="888">
        <v>24</v>
      </c>
      <c r="C63" s="893" t="s">
        <v>585</v>
      </c>
      <c r="D63" s="888"/>
      <c r="E63" s="888" t="s">
        <v>515</v>
      </c>
      <c r="F63" s="894">
        <v>750000000</v>
      </c>
      <c r="G63" s="888">
        <v>0.008</v>
      </c>
      <c r="H63" s="895">
        <f t="shared" si="3"/>
        <v>600</v>
      </c>
      <c r="I63" s="911"/>
    </row>
    <row r="64" ht="34" spans="1:9">
      <c r="B64" s="899">
        <v>25</v>
      </c>
      <c r="C64" s="900" t="s">
        <v>586</v>
      </c>
      <c r="D64" s="899"/>
      <c r="E64" s="899"/>
      <c r="F64" s="901"/>
      <c r="G64" s="899"/>
      <c r="H64" s="902">
        <f>SUM(H39:H63)</f>
        <v>28005</v>
      </c>
      <c r="I64" s="901"/>
    </row>
    <row r="65" ht="34" spans="2:9">
      <c r="B65" s="889" t="s">
        <v>587</v>
      </c>
      <c r="C65" s="890" t="s">
        <v>588</v>
      </c>
      <c r="D65" s="891"/>
      <c r="E65" s="891"/>
      <c r="F65" s="892"/>
      <c r="G65" s="891"/>
      <c r="H65" s="891"/>
      <c r="I65" s="892"/>
    </row>
    <row r="66" ht="101" spans="2:9">
      <c r="B66" s="888">
        <v>1</v>
      </c>
      <c r="C66" s="898" t="s">
        <v>589</v>
      </c>
      <c r="D66" s="888" t="s">
        <v>590</v>
      </c>
      <c r="E66" s="888" t="s">
        <v>515</v>
      </c>
      <c r="F66" s="894">
        <v>202000000</v>
      </c>
      <c r="G66" s="888">
        <v>0.7</v>
      </c>
      <c r="H66" s="895">
        <f t="shared" ref="H66:H74" si="4">F66*G66/10000</f>
        <v>14140</v>
      </c>
      <c r="I66" s="912" t="s">
        <v>591</v>
      </c>
    </row>
    <row r="67" ht="51" spans="2:9">
      <c r="B67" s="888">
        <v>2</v>
      </c>
      <c r="C67" s="893" t="s">
        <v>592</v>
      </c>
      <c r="D67" s="913" t="s">
        <v>593</v>
      </c>
      <c r="E67" s="888" t="s">
        <v>515</v>
      </c>
      <c r="F67" s="894">
        <v>757500000</v>
      </c>
      <c r="G67" s="888">
        <v>0.1</v>
      </c>
      <c r="H67" s="895">
        <f t="shared" si="4"/>
        <v>7575</v>
      </c>
      <c r="I67" s="914"/>
    </row>
    <row r="68" ht="51" spans="2:9">
      <c r="B68" s="888">
        <v>3</v>
      </c>
      <c r="C68" s="898" t="s">
        <v>594</v>
      </c>
      <c r="D68" s="888"/>
      <c r="E68" s="888" t="s">
        <v>515</v>
      </c>
      <c r="F68" s="894">
        <v>202000000</v>
      </c>
      <c r="G68" s="888">
        <v>0.22</v>
      </c>
      <c r="H68" s="895">
        <f t="shared" si="4"/>
        <v>4444</v>
      </c>
      <c r="I68" s="914"/>
    </row>
    <row r="69" ht="101" spans="2:9">
      <c r="B69" s="888">
        <v>4</v>
      </c>
      <c r="C69" s="893" t="s">
        <v>595</v>
      </c>
      <c r="D69" s="898" t="s">
        <v>596</v>
      </c>
      <c r="E69" s="888" t="s">
        <v>515</v>
      </c>
      <c r="F69" s="894">
        <v>202000000</v>
      </c>
      <c r="G69" s="888">
        <v>0.16</v>
      </c>
      <c r="H69" s="895">
        <f t="shared" si="4"/>
        <v>3232</v>
      </c>
      <c r="I69" s="914"/>
    </row>
    <row r="70" ht="51" spans="2:9">
      <c r="B70" s="888">
        <v>5</v>
      </c>
      <c r="C70" s="898" t="s">
        <v>597</v>
      </c>
      <c r="D70" s="888" t="s">
        <v>598</v>
      </c>
      <c r="E70" s="888" t="s">
        <v>515</v>
      </c>
      <c r="F70" s="894">
        <v>202000000</v>
      </c>
      <c r="G70" s="888">
        <v>0.02</v>
      </c>
      <c r="H70" s="895">
        <f t="shared" si="4"/>
        <v>404</v>
      </c>
      <c r="I70" s="914"/>
    </row>
    <row r="71" ht="84" spans="2:9">
      <c r="B71" s="888">
        <v>6</v>
      </c>
      <c r="C71" s="898" t="s">
        <v>599</v>
      </c>
      <c r="D71" s="888" t="s">
        <v>600</v>
      </c>
      <c r="E71" s="888" t="s">
        <v>515</v>
      </c>
      <c r="F71" s="894">
        <v>200000000</v>
      </c>
      <c r="G71" s="888">
        <v>0.2</v>
      </c>
      <c r="H71" s="895">
        <f t="shared" si="4"/>
        <v>4000</v>
      </c>
      <c r="I71" s="914"/>
    </row>
    <row r="72" ht="34" spans="2:9">
      <c r="B72" s="888">
        <v>7</v>
      </c>
      <c r="C72" s="893" t="s">
        <v>601</v>
      </c>
      <c r="D72" s="888" t="s">
        <v>576</v>
      </c>
      <c r="E72" s="888" t="s">
        <v>602</v>
      </c>
      <c r="F72" s="894">
        <v>360</v>
      </c>
      <c r="G72" s="895">
        <v>600000</v>
      </c>
      <c r="H72" s="895">
        <f t="shared" si="4"/>
        <v>21600</v>
      </c>
      <c r="I72" s="914"/>
    </row>
    <row r="73" ht="34" spans="2:9">
      <c r="B73" s="888">
        <v>8</v>
      </c>
      <c r="C73" s="893" t="s">
        <v>551</v>
      </c>
      <c r="D73" s="888"/>
      <c r="E73" s="888" t="s">
        <v>515</v>
      </c>
      <c r="F73" s="894">
        <v>202000000</v>
      </c>
      <c r="G73" s="888">
        <v>0.09</v>
      </c>
      <c r="H73" s="895">
        <f t="shared" si="4"/>
        <v>1818</v>
      </c>
      <c r="I73" s="914"/>
    </row>
    <row r="74" ht="34" spans="2:9">
      <c r="B74" s="888">
        <v>9</v>
      </c>
      <c r="C74" s="898" t="s">
        <v>603</v>
      </c>
      <c r="D74" s="888" t="s">
        <v>576</v>
      </c>
      <c r="E74" s="888" t="s">
        <v>602</v>
      </c>
      <c r="F74" s="894">
        <v>360</v>
      </c>
      <c r="G74" s="888">
        <v>22000</v>
      </c>
      <c r="H74" s="895">
        <f t="shared" si="4"/>
        <v>792</v>
      </c>
      <c r="I74" s="915"/>
    </row>
    <row r="75" ht="34" spans="2:9">
      <c r="B75" s="899">
        <v>10</v>
      </c>
      <c r="C75" s="900" t="s">
        <v>604</v>
      </c>
      <c r="D75" s="899"/>
      <c r="E75" s="899"/>
      <c r="F75" s="901"/>
      <c r="G75" s="899"/>
      <c r="H75" s="902">
        <v>58005</v>
      </c>
      <c r="I75" s="916"/>
    </row>
    <row r="76" ht="34" spans="2:9">
      <c r="B76" s="889" t="s">
        <v>605</v>
      </c>
      <c r="C76" s="890" t="s">
        <v>606</v>
      </c>
      <c r="D76" s="891"/>
      <c r="E76" s="891"/>
      <c r="F76" s="892"/>
      <c r="G76" s="891"/>
      <c r="H76" s="891"/>
      <c r="I76" s="892"/>
    </row>
    <row r="77" ht="101" spans="2:9">
      <c r="B77" s="917">
        <v>1</v>
      </c>
      <c r="C77" s="898" t="s">
        <v>607</v>
      </c>
      <c r="D77" s="888" t="s">
        <v>608</v>
      </c>
      <c r="E77" s="888" t="s">
        <v>515</v>
      </c>
      <c r="F77" s="894">
        <v>171700000</v>
      </c>
      <c r="G77" s="888">
        <v>0.7</v>
      </c>
      <c r="H77" s="895">
        <f t="shared" ref="H77:H82" si="5">F77*G77/10000</f>
        <v>12019</v>
      </c>
      <c r="I77" s="897" t="s">
        <v>609</v>
      </c>
    </row>
    <row r="78" ht="51" spans="2:9">
      <c r="B78" s="888">
        <v>2</v>
      </c>
      <c r="C78" s="898" t="s">
        <v>610</v>
      </c>
      <c r="D78" s="888"/>
      <c r="E78" s="888" t="s">
        <v>515</v>
      </c>
      <c r="F78" s="894">
        <v>171700000</v>
      </c>
      <c r="G78" s="888">
        <v>0.22</v>
      </c>
      <c r="H78" s="895">
        <f t="shared" si="5"/>
        <v>3777.4</v>
      </c>
      <c r="I78" s="897"/>
    </row>
    <row r="79" ht="101" spans="2:9">
      <c r="B79" s="888">
        <v>3</v>
      </c>
      <c r="C79" s="898" t="s">
        <v>611</v>
      </c>
      <c r="D79" s="913" t="s">
        <v>612</v>
      </c>
      <c r="E79" s="888" t="s">
        <v>515</v>
      </c>
      <c r="F79" s="894">
        <v>171700000</v>
      </c>
      <c r="G79" s="888">
        <v>0.16</v>
      </c>
      <c r="H79" s="895">
        <f t="shared" si="5"/>
        <v>2747.2</v>
      </c>
      <c r="I79" s="897"/>
    </row>
    <row r="80" ht="51" spans="2:9">
      <c r="B80" s="888">
        <v>4</v>
      </c>
      <c r="C80" s="898" t="s">
        <v>613</v>
      </c>
      <c r="D80" s="913" t="s">
        <v>614</v>
      </c>
      <c r="E80" s="888" t="s">
        <v>515</v>
      </c>
      <c r="F80" s="894">
        <v>171700000</v>
      </c>
      <c r="G80" s="888">
        <v>0.02</v>
      </c>
      <c r="H80" s="895">
        <f t="shared" si="5"/>
        <v>343.4</v>
      </c>
      <c r="I80" s="897"/>
    </row>
    <row r="81" ht="84" spans="2:9">
      <c r="B81" s="888">
        <v>5</v>
      </c>
      <c r="C81" s="898" t="s">
        <v>599</v>
      </c>
      <c r="D81" s="888" t="s">
        <v>615</v>
      </c>
      <c r="E81" s="888" t="s">
        <v>515</v>
      </c>
      <c r="F81" s="894">
        <v>170000000</v>
      </c>
      <c r="G81" s="888">
        <v>0.2</v>
      </c>
      <c r="H81" s="895">
        <f t="shared" si="5"/>
        <v>3400</v>
      </c>
      <c r="I81" s="897"/>
    </row>
    <row r="82" ht="34" spans="2:9">
      <c r="B82" s="888">
        <v>6</v>
      </c>
      <c r="C82" s="893" t="s">
        <v>551</v>
      </c>
      <c r="D82" s="888"/>
      <c r="E82" s="888" t="s">
        <v>515</v>
      </c>
      <c r="F82" s="894">
        <v>171700000</v>
      </c>
      <c r="G82" s="888">
        <v>0.09</v>
      </c>
      <c r="H82" s="895">
        <f t="shared" si="5"/>
        <v>1545.3</v>
      </c>
      <c r="I82" s="897"/>
    </row>
    <row r="83" ht="34" spans="2:9">
      <c r="B83" s="899">
        <v>7</v>
      </c>
      <c r="C83" s="900" t="s">
        <v>616</v>
      </c>
      <c r="D83" s="899"/>
      <c r="E83" s="899"/>
      <c r="F83" s="901"/>
      <c r="G83" s="899"/>
      <c r="H83" s="902">
        <f>SUM(H77:H82)</f>
        <v>23832.3</v>
      </c>
      <c r="I83" s="901"/>
    </row>
    <row r="84" ht="34" spans="2:9">
      <c r="B84" s="889" t="s">
        <v>617</v>
      </c>
      <c r="C84" s="890" t="s">
        <v>618</v>
      </c>
      <c r="D84" s="891"/>
      <c r="E84" s="891"/>
      <c r="F84" s="892"/>
      <c r="G84" s="891"/>
      <c r="H84" s="891"/>
      <c r="I84" s="892"/>
    </row>
    <row r="85" ht="101" spans="2:9">
      <c r="B85" s="888">
        <v>1</v>
      </c>
      <c r="C85" s="898" t="s">
        <v>607</v>
      </c>
      <c r="D85" s="888" t="s">
        <v>608</v>
      </c>
      <c r="E85" s="888" t="s">
        <v>515</v>
      </c>
      <c r="F85" s="894">
        <v>383800000</v>
      </c>
      <c r="G85" s="888">
        <v>0.7</v>
      </c>
      <c r="H85" s="895">
        <f t="shared" ref="H85:H90" si="6">F85*G85/10000</f>
        <v>26866</v>
      </c>
      <c r="I85" s="896" t="s">
        <v>619</v>
      </c>
    </row>
    <row r="86" ht="51" spans="2:9">
      <c r="B86" s="888">
        <v>2</v>
      </c>
      <c r="C86" s="898" t="s">
        <v>610</v>
      </c>
      <c r="D86" s="888"/>
      <c r="E86" s="888" t="s">
        <v>515</v>
      </c>
      <c r="F86" s="894">
        <v>383800000</v>
      </c>
      <c r="G86" s="888">
        <v>0.22</v>
      </c>
      <c r="H86" s="895">
        <f t="shared" si="6"/>
        <v>8443.6</v>
      </c>
      <c r="I86" s="897"/>
    </row>
    <row r="87" ht="101" spans="2:9">
      <c r="B87" s="888">
        <v>3</v>
      </c>
      <c r="C87" s="898" t="s">
        <v>611</v>
      </c>
      <c r="D87" s="913" t="s">
        <v>620</v>
      </c>
      <c r="E87" s="888" t="s">
        <v>515</v>
      </c>
      <c r="F87" s="894">
        <v>383800000</v>
      </c>
      <c r="G87" s="888">
        <v>0.16</v>
      </c>
      <c r="H87" s="895">
        <f t="shared" si="6"/>
        <v>6140.8</v>
      </c>
      <c r="I87" s="897"/>
    </row>
    <row r="88" ht="51" spans="2:9">
      <c r="B88" s="888">
        <v>4</v>
      </c>
      <c r="C88" s="898" t="s">
        <v>613</v>
      </c>
      <c r="D88" s="913" t="s">
        <v>614</v>
      </c>
      <c r="E88" s="888" t="s">
        <v>515</v>
      </c>
      <c r="F88" s="894">
        <v>383800000</v>
      </c>
      <c r="G88" s="888">
        <v>0.02</v>
      </c>
      <c r="H88" s="895">
        <f t="shared" si="6"/>
        <v>767.6</v>
      </c>
      <c r="I88" s="897"/>
    </row>
    <row r="89" ht="84" spans="2:9">
      <c r="B89" s="888">
        <v>5</v>
      </c>
      <c r="C89" s="898" t="s">
        <v>599</v>
      </c>
      <c r="D89" s="888" t="s">
        <v>600</v>
      </c>
      <c r="E89" s="888" t="s">
        <v>515</v>
      </c>
      <c r="F89" s="894">
        <v>380000000</v>
      </c>
      <c r="G89" s="888">
        <v>0.2</v>
      </c>
      <c r="H89" s="895">
        <f t="shared" si="6"/>
        <v>7600</v>
      </c>
      <c r="I89" s="897"/>
    </row>
    <row r="90" ht="34" spans="2:9">
      <c r="B90" s="888">
        <v>6</v>
      </c>
      <c r="C90" s="893" t="s">
        <v>551</v>
      </c>
      <c r="D90" s="888"/>
      <c r="E90" s="888" t="s">
        <v>515</v>
      </c>
      <c r="F90" s="894">
        <v>383800000</v>
      </c>
      <c r="G90" s="888">
        <v>0.09</v>
      </c>
      <c r="H90" s="895">
        <f t="shared" si="6"/>
        <v>3454.2</v>
      </c>
      <c r="I90" s="897"/>
    </row>
    <row r="91" ht="34" spans="2:9">
      <c r="B91" s="899">
        <v>7</v>
      </c>
      <c r="C91" s="900" t="s">
        <v>621</v>
      </c>
      <c r="D91" s="899"/>
      <c r="E91" s="899"/>
      <c r="F91" s="901"/>
      <c r="G91" s="899"/>
      <c r="H91" s="902">
        <f>SUM(H85:H90)</f>
        <v>53272.2</v>
      </c>
      <c r="I91" s="901"/>
    </row>
    <row r="92" ht="34" spans="2:9">
      <c r="B92" s="889" t="s">
        <v>622</v>
      </c>
      <c r="C92" s="918" t="s">
        <v>623</v>
      </c>
      <c r="D92" s="891"/>
      <c r="E92" s="891"/>
      <c r="F92" s="892"/>
      <c r="G92" s="891"/>
      <c r="H92" s="891"/>
      <c r="I92" s="919"/>
    </row>
    <row r="93" ht="34" spans="2:9">
      <c r="B93" s="888">
        <v>1</v>
      </c>
      <c r="C93" s="898" t="s">
        <v>624</v>
      </c>
      <c r="D93" s="888"/>
      <c r="E93" s="888"/>
      <c r="F93" s="920"/>
      <c r="G93" s="888"/>
      <c r="H93" s="888"/>
      <c r="I93" s="921" t="s">
        <v>591</v>
      </c>
    </row>
    <row r="94" ht="34" spans="2:9">
      <c r="B94" s="888">
        <v>1.1</v>
      </c>
      <c r="C94" s="893" t="s">
        <v>625</v>
      </c>
      <c r="D94" s="888"/>
      <c r="E94" s="888" t="s">
        <v>515</v>
      </c>
      <c r="F94" s="894">
        <v>750000000</v>
      </c>
      <c r="G94" s="888">
        <v>0.01</v>
      </c>
      <c r="H94" s="895">
        <f t="shared" ref="H94:H111" si="7">F94*G94/10000</f>
        <v>750</v>
      </c>
      <c r="I94" s="922"/>
    </row>
    <row r="95" ht="51" spans="2:9">
      <c r="B95" s="888">
        <v>1.2</v>
      </c>
      <c r="C95" s="893" t="s">
        <v>626</v>
      </c>
      <c r="D95" s="888"/>
      <c r="E95" s="888" t="s">
        <v>515</v>
      </c>
      <c r="F95" s="894">
        <v>750000000</v>
      </c>
      <c r="G95" s="888">
        <v>0.01</v>
      </c>
      <c r="H95" s="895">
        <f t="shared" si="7"/>
        <v>750</v>
      </c>
      <c r="I95" s="922"/>
    </row>
    <row r="96" ht="34" spans="2:9">
      <c r="B96" s="888">
        <v>2</v>
      </c>
      <c r="C96" s="893" t="s">
        <v>627</v>
      </c>
      <c r="D96" s="888"/>
      <c r="E96" s="888"/>
      <c r="F96" s="894"/>
      <c r="G96" s="888"/>
      <c r="H96" s="888"/>
      <c r="I96" s="922"/>
    </row>
    <row r="97" ht="34" spans="2:9">
      <c r="B97" s="888">
        <v>2.1</v>
      </c>
      <c r="C97" s="898" t="s">
        <v>628</v>
      </c>
      <c r="D97" s="888"/>
      <c r="E97" s="888" t="s">
        <v>515</v>
      </c>
      <c r="F97" s="894">
        <v>750000000</v>
      </c>
      <c r="G97" s="888">
        <v>0.03</v>
      </c>
      <c r="H97" s="895">
        <f t="shared" si="7"/>
        <v>2250</v>
      </c>
      <c r="I97" s="922"/>
    </row>
    <row r="98" ht="34" spans="2:9">
      <c r="B98" s="888">
        <v>2.2</v>
      </c>
      <c r="C98" s="893" t="s">
        <v>629</v>
      </c>
      <c r="D98" s="888"/>
      <c r="E98" s="888" t="s">
        <v>515</v>
      </c>
      <c r="F98" s="894">
        <v>750000000</v>
      </c>
      <c r="G98" s="888">
        <v>0.16</v>
      </c>
      <c r="H98" s="895">
        <f t="shared" si="7"/>
        <v>12000</v>
      </c>
      <c r="I98" s="922"/>
    </row>
    <row r="99" ht="34" spans="2:9">
      <c r="B99" s="888">
        <v>2.3</v>
      </c>
      <c r="C99" s="893" t="s">
        <v>630</v>
      </c>
      <c r="D99" s="888"/>
      <c r="E99" s="888" t="s">
        <v>515</v>
      </c>
      <c r="F99" s="894">
        <v>750000000</v>
      </c>
      <c r="G99" s="888">
        <v>0.145</v>
      </c>
      <c r="H99" s="895">
        <f t="shared" si="7"/>
        <v>10875</v>
      </c>
      <c r="I99" s="922"/>
    </row>
    <row r="100" ht="34" spans="2:9">
      <c r="B100" s="888">
        <v>2.4</v>
      </c>
      <c r="C100" s="893" t="s">
        <v>631</v>
      </c>
      <c r="D100" s="888"/>
      <c r="E100" s="888" t="s">
        <v>515</v>
      </c>
      <c r="F100" s="894">
        <v>750000000</v>
      </c>
      <c r="G100" s="888">
        <v>0.02</v>
      </c>
      <c r="H100" s="895">
        <f t="shared" si="7"/>
        <v>1500</v>
      </c>
      <c r="I100" s="922"/>
    </row>
    <row r="101" ht="51" spans="2:9">
      <c r="B101" s="888">
        <v>2.5</v>
      </c>
      <c r="C101" s="898" t="s">
        <v>632</v>
      </c>
      <c r="D101" s="888"/>
      <c r="E101" s="888" t="s">
        <v>515</v>
      </c>
      <c r="F101" s="894">
        <v>750000000</v>
      </c>
      <c r="G101" s="888">
        <v>0.02</v>
      </c>
      <c r="H101" s="895">
        <f t="shared" si="7"/>
        <v>1500</v>
      </c>
      <c r="I101" s="922"/>
    </row>
    <row r="102" ht="34" spans="2:9">
      <c r="B102" s="888">
        <v>2.6</v>
      </c>
      <c r="C102" s="893" t="s">
        <v>633</v>
      </c>
      <c r="D102" s="913" t="s">
        <v>634</v>
      </c>
      <c r="E102" s="888" t="s">
        <v>515</v>
      </c>
      <c r="F102" s="894">
        <v>750000000</v>
      </c>
      <c r="G102" s="888">
        <v>0.17</v>
      </c>
      <c r="H102" s="895">
        <f t="shared" si="7"/>
        <v>12750</v>
      </c>
      <c r="I102" s="922"/>
    </row>
    <row r="103" ht="51" spans="2:9">
      <c r="B103" s="888">
        <v>2.7</v>
      </c>
      <c r="C103" s="898" t="s">
        <v>635</v>
      </c>
      <c r="D103" s="913" t="s">
        <v>636</v>
      </c>
      <c r="E103" s="888" t="s">
        <v>515</v>
      </c>
      <c r="F103" s="894">
        <v>750000000</v>
      </c>
      <c r="G103" s="888">
        <v>0.006</v>
      </c>
      <c r="H103" s="895">
        <f t="shared" si="7"/>
        <v>450</v>
      </c>
      <c r="I103" s="922"/>
    </row>
    <row r="104" ht="51" spans="2:9">
      <c r="B104" s="888">
        <v>2.8</v>
      </c>
      <c r="C104" s="898" t="s">
        <v>637</v>
      </c>
      <c r="D104" s="888"/>
      <c r="E104" s="888" t="s">
        <v>515</v>
      </c>
      <c r="F104" s="894">
        <v>750000000</v>
      </c>
      <c r="G104" s="888">
        <v>0.01</v>
      </c>
      <c r="H104" s="895">
        <f t="shared" si="7"/>
        <v>750</v>
      </c>
      <c r="I104" s="922"/>
    </row>
    <row r="105" ht="34" spans="2:9">
      <c r="B105" s="888">
        <v>2.9</v>
      </c>
      <c r="C105" s="898" t="s">
        <v>638</v>
      </c>
      <c r="D105" s="888"/>
      <c r="E105" s="888" t="s">
        <v>515</v>
      </c>
      <c r="F105" s="894">
        <v>750000000</v>
      </c>
      <c r="G105" s="888">
        <v>0.01</v>
      </c>
      <c r="H105" s="895">
        <f t="shared" si="7"/>
        <v>750</v>
      </c>
      <c r="I105" s="922"/>
    </row>
    <row r="106" ht="34" spans="2:9">
      <c r="B106" s="888">
        <v>2.1</v>
      </c>
      <c r="C106" s="893" t="s">
        <v>639</v>
      </c>
      <c r="D106" s="888"/>
      <c r="E106" s="888" t="s">
        <v>640</v>
      </c>
      <c r="F106" s="894">
        <v>1</v>
      </c>
      <c r="G106" s="888">
        <v>5000000</v>
      </c>
      <c r="H106" s="895">
        <f t="shared" si="7"/>
        <v>500</v>
      </c>
      <c r="I106" s="922"/>
    </row>
    <row r="107" ht="34" spans="2:9">
      <c r="B107" s="888">
        <v>2.11</v>
      </c>
      <c r="C107" s="893" t="s">
        <v>641</v>
      </c>
      <c r="D107" s="888"/>
      <c r="E107" s="888" t="s">
        <v>515</v>
      </c>
      <c r="F107" s="894">
        <v>750000000</v>
      </c>
      <c r="G107" s="888">
        <v>0.01</v>
      </c>
      <c r="H107" s="895">
        <f t="shared" si="7"/>
        <v>750</v>
      </c>
      <c r="I107" s="922"/>
    </row>
    <row r="108" ht="51" spans="2:9">
      <c r="B108" s="888">
        <v>2.12</v>
      </c>
      <c r="C108" s="893" t="s">
        <v>642</v>
      </c>
      <c r="D108" s="913" t="s">
        <v>643</v>
      </c>
      <c r="E108" s="888" t="s">
        <v>515</v>
      </c>
      <c r="F108" s="894">
        <v>750000000</v>
      </c>
      <c r="G108" s="888">
        <v>0.05</v>
      </c>
      <c r="H108" s="895">
        <f t="shared" si="7"/>
        <v>3750</v>
      </c>
      <c r="I108" s="922"/>
    </row>
    <row r="109" ht="34" spans="2:9">
      <c r="B109" s="888">
        <v>2.13</v>
      </c>
      <c r="C109" s="898" t="s">
        <v>644</v>
      </c>
      <c r="D109" s="888"/>
      <c r="E109" s="888" t="s">
        <v>515</v>
      </c>
      <c r="F109" s="894">
        <v>750000000</v>
      </c>
      <c r="G109" s="888">
        <v>0.01</v>
      </c>
      <c r="H109" s="895">
        <f t="shared" si="7"/>
        <v>750</v>
      </c>
      <c r="I109" s="922"/>
    </row>
    <row r="110" ht="34" spans="2:9">
      <c r="B110" s="888">
        <v>2.14</v>
      </c>
      <c r="C110" s="898" t="s">
        <v>645</v>
      </c>
      <c r="D110" s="888"/>
      <c r="E110" s="888" t="s">
        <v>515</v>
      </c>
      <c r="F110" s="894">
        <v>750000000</v>
      </c>
      <c r="G110" s="888">
        <v>0.01</v>
      </c>
      <c r="H110" s="895">
        <f t="shared" si="7"/>
        <v>750</v>
      </c>
      <c r="I110" s="922"/>
    </row>
    <row r="111" ht="34" spans="2:9">
      <c r="B111" s="888">
        <v>2.15</v>
      </c>
      <c r="C111" s="893" t="s">
        <v>646</v>
      </c>
      <c r="D111" s="888"/>
      <c r="E111" s="888" t="s">
        <v>515</v>
      </c>
      <c r="F111" s="894">
        <v>750000000</v>
      </c>
      <c r="G111" s="888">
        <v>0.03</v>
      </c>
      <c r="H111" s="895">
        <f t="shared" si="7"/>
        <v>2250</v>
      </c>
      <c r="I111" s="922"/>
    </row>
    <row r="112" ht="34" spans="2:9">
      <c r="B112" s="888">
        <v>3</v>
      </c>
      <c r="C112" s="893" t="s">
        <v>647</v>
      </c>
      <c r="D112" s="888"/>
      <c r="E112" s="888"/>
      <c r="F112" s="894"/>
      <c r="G112" s="888"/>
      <c r="H112" s="888"/>
      <c r="I112" s="922"/>
    </row>
    <row r="113" ht="34" spans="2:9">
      <c r="B113" s="888">
        <v>3.1</v>
      </c>
      <c r="C113" s="893" t="s">
        <v>552</v>
      </c>
      <c r="D113" s="888"/>
      <c r="E113" s="888" t="s">
        <v>515</v>
      </c>
      <c r="F113" s="894">
        <v>750000000</v>
      </c>
      <c r="G113" s="888">
        <v>0.05</v>
      </c>
      <c r="H113" s="895">
        <f t="shared" ref="H113:H117" si="8">F113*G113/10000</f>
        <v>3750</v>
      </c>
      <c r="I113" s="922"/>
    </row>
    <row r="114" ht="34" spans="2:9">
      <c r="B114" s="888">
        <v>3.2</v>
      </c>
      <c r="C114" s="893" t="s">
        <v>648</v>
      </c>
      <c r="D114" s="888"/>
      <c r="E114" s="888" t="s">
        <v>515</v>
      </c>
      <c r="F114" s="894">
        <v>750000000</v>
      </c>
      <c r="G114" s="888">
        <v>0.03</v>
      </c>
      <c r="H114" s="895">
        <f t="shared" si="8"/>
        <v>2250</v>
      </c>
      <c r="I114" s="922"/>
    </row>
    <row r="115" ht="34" spans="2:9">
      <c r="B115" s="888">
        <v>3.3</v>
      </c>
      <c r="C115" s="893" t="s">
        <v>649</v>
      </c>
      <c r="D115" s="888" t="s">
        <v>650</v>
      </c>
      <c r="E115" s="888" t="s">
        <v>515</v>
      </c>
      <c r="F115" s="894">
        <v>750000000</v>
      </c>
      <c r="G115" s="888">
        <v>0.005</v>
      </c>
      <c r="H115" s="895">
        <f t="shared" si="8"/>
        <v>375</v>
      </c>
      <c r="I115" s="922"/>
    </row>
    <row r="116" ht="51" spans="2:9">
      <c r="B116" s="888">
        <v>3.4</v>
      </c>
      <c r="C116" s="893" t="s">
        <v>651</v>
      </c>
      <c r="D116" s="913" t="s">
        <v>652</v>
      </c>
      <c r="E116" s="888" t="s">
        <v>515</v>
      </c>
      <c r="F116" s="894">
        <v>750000000</v>
      </c>
      <c r="G116" s="888">
        <v>0.02</v>
      </c>
      <c r="H116" s="895">
        <f t="shared" si="8"/>
        <v>1500</v>
      </c>
      <c r="I116" s="922"/>
    </row>
    <row r="117" ht="34" spans="2:9">
      <c r="B117" s="888">
        <v>3.5</v>
      </c>
      <c r="C117" s="898" t="s">
        <v>585</v>
      </c>
      <c r="D117" s="888"/>
      <c r="E117" s="888" t="s">
        <v>640</v>
      </c>
      <c r="F117" s="894">
        <v>1</v>
      </c>
      <c r="G117" s="888">
        <v>30000000</v>
      </c>
      <c r="H117" s="895">
        <f t="shared" si="8"/>
        <v>3000</v>
      </c>
      <c r="I117" s="923"/>
    </row>
    <row r="118" ht="34" spans="2:9">
      <c r="B118" s="899">
        <v>4</v>
      </c>
      <c r="C118" s="924" t="s">
        <v>653</v>
      </c>
      <c r="D118" s="899"/>
      <c r="E118" s="899"/>
      <c r="F118" s="901"/>
      <c r="G118" s="899"/>
      <c r="H118" s="902">
        <f>SUM(H93:H117)</f>
        <v>63950</v>
      </c>
      <c r="I118" s="916"/>
    </row>
    <row r="119" ht="41" spans="2:9">
      <c r="B119" s="925" t="s">
        <v>654</v>
      </c>
      <c r="C119" s="926" t="s">
        <v>655</v>
      </c>
      <c r="D119" s="927"/>
      <c r="E119" s="927"/>
      <c r="F119" s="928"/>
      <c r="G119" s="927"/>
      <c r="H119" s="929">
        <f>H16+H37+H64+H75+H83+H91+H118</f>
        <v>280689.5</v>
      </c>
      <c r="I119" s="928"/>
    </row>
  </sheetData>
  <mergeCells count="16">
    <mergeCell ref="B2:I2"/>
    <mergeCell ref="A58:A59"/>
    <mergeCell ref="B58:B59"/>
    <mergeCell ref="C58:C59"/>
    <mergeCell ref="D58:D59"/>
    <mergeCell ref="E58:E59"/>
    <mergeCell ref="F58:F59"/>
    <mergeCell ref="G58:G59"/>
    <mergeCell ref="H58:H59"/>
    <mergeCell ref="I5:I15"/>
    <mergeCell ref="I18:I36"/>
    <mergeCell ref="I39:I63"/>
    <mergeCell ref="I66:I74"/>
    <mergeCell ref="I77:I82"/>
    <mergeCell ref="I85:I90"/>
    <mergeCell ref="I93:I117"/>
  </mergeCell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H63"/>
  <sheetViews>
    <sheetView zoomScale="136" zoomScaleNormal="136" topLeftCell="A47" workbookViewId="0">
      <selection activeCell="I44" sqref="I44"/>
    </sheetView>
  </sheetViews>
  <sheetFormatPr defaultColWidth="7.92857142857143" defaultRowHeight="17.6" outlineLevelCol="7"/>
  <cols>
    <col min="2" max="2" width="5.64285714285714" style="844" customWidth="1"/>
    <col min="3" max="3" width="22.9017857142857" style="843"/>
    <col min="4" max="4" width="12.1339285714286" style="843"/>
    <col min="5" max="5" width="16.0892857142857" style="843"/>
    <col min="6" max="6" width="31.8035714285714" style="845" customWidth="1"/>
    <col min="7" max="7" width="7.92857142857143" style="843"/>
    <col min="8" max="8" width="14.7232142857143" style="843" customWidth="1"/>
    <col min="9" max="9" width="11.0625" style="843"/>
    <col min="10" max="10" width="7.92857142857143" style="843"/>
    <col min="11" max="11" width="16.8125" style="843" customWidth="1"/>
    <col min="12" max="16384" width="7.92857142857143" style="843"/>
  </cols>
  <sheetData>
    <row r="2" s="843" customFormat="1" spans="2:8">
      <c r="B2" s="846" t="s">
        <v>656</v>
      </c>
      <c r="C2" s="847"/>
      <c r="D2" s="847"/>
      <c r="E2" s="847"/>
      <c r="F2" s="848"/>
    </row>
    <row r="3" s="843" customFormat="1" ht="16" spans="2:8">
      <c r="B3" s="849" t="s">
        <v>61</v>
      </c>
      <c r="C3" s="849" t="s">
        <v>657</v>
      </c>
      <c r="D3" s="849" t="s">
        <v>4</v>
      </c>
      <c r="E3" s="849" t="s">
        <v>658</v>
      </c>
      <c r="F3" s="850" t="s">
        <v>64</v>
      </c>
    </row>
    <row r="4" s="843" customFormat="1" ht="15.2" spans="2:8">
      <c r="B4" s="851" t="s">
        <v>659</v>
      </c>
      <c r="C4" s="851" t="s">
        <v>660</v>
      </c>
      <c r="D4" s="852"/>
      <c r="E4" s="852"/>
      <c r="F4" s="853"/>
    </row>
    <row r="5" s="843" customFormat="1" ht="16" spans="2:8">
      <c r="B5" s="854">
        <v>1</v>
      </c>
      <c r="C5" s="855" t="s">
        <v>661</v>
      </c>
      <c r="D5" s="856" t="s">
        <v>427</v>
      </c>
      <c r="E5" s="857">
        <f>假设及结论!F13*10</f>
        <v>750</v>
      </c>
      <c r="F5" s="853" t="s">
        <v>662</v>
      </c>
    </row>
    <row r="6" s="843" customFormat="1" ht="15.2" spans="2:8">
      <c r="B6" s="854">
        <v>2</v>
      </c>
      <c r="C6" s="855" t="s">
        <v>663</v>
      </c>
      <c r="D6" s="856" t="s">
        <v>664</v>
      </c>
      <c r="E6" s="858">
        <v>12</v>
      </c>
      <c r="F6" s="853"/>
    </row>
    <row r="7" s="843" customFormat="1" ht="15.2" spans="2:8">
      <c r="B7" s="854">
        <v>3</v>
      </c>
      <c r="C7" s="855" t="s">
        <v>665</v>
      </c>
      <c r="D7" s="856" t="s">
        <v>471</v>
      </c>
      <c r="E7" s="858">
        <f>假设及结论!H13</f>
        <v>25</v>
      </c>
      <c r="F7" s="853"/>
    </row>
    <row r="8" s="843" customFormat="1" ht="15.2" spans="2:8">
      <c r="B8" s="854" t="s">
        <v>666</v>
      </c>
      <c r="C8" s="859" t="s">
        <v>667</v>
      </c>
      <c r="D8" s="856"/>
      <c r="E8" s="857"/>
      <c r="F8" s="853"/>
    </row>
    <row r="9" s="843" customFormat="1" ht="16" spans="2:8">
      <c r="B9" s="854">
        <v>1</v>
      </c>
      <c r="C9" s="855" t="s">
        <v>668</v>
      </c>
      <c r="D9" s="856" t="s">
        <v>669</v>
      </c>
      <c r="E9" s="857">
        <f>(假设及结论!C13-资金筹措!C8)/假设及结论!F13</f>
        <v>3311.12184159561</v>
      </c>
      <c r="F9" s="853" t="s">
        <v>670</v>
      </c>
    </row>
    <row r="10" s="843" customFormat="1" ht="16" spans="2:8">
      <c r="B10" s="854">
        <v>2</v>
      </c>
      <c r="C10" s="855" t="s">
        <v>671</v>
      </c>
      <c r="D10" s="856" t="s">
        <v>419</v>
      </c>
      <c r="E10" s="857">
        <f>假设及结论!C15</f>
        <v>247200</v>
      </c>
      <c r="F10" s="853" t="s">
        <v>670</v>
      </c>
    </row>
    <row r="11" s="843" customFormat="1" ht="16" spans="2:8">
      <c r="B11" s="854">
        <v>3</v>
      </c>
      <c r="C11" s="855" t="s">
        <v>672</v>
      </c>
      <c r="D11" s="856" t="s">
        <v>419</v>
      </c>
      <c r="E11" s="857">
        <f>假设及结论!C13</f>
        <v>251649.6</v>
      </c>
      <c r="F11" s="853" t="s">
        <v>670</v>
      </c>
    </row>
    <row r="12" s="843" customFormat="1" ht="15.2" spans="2:8">
      <c r="B12" s="854">
        <v>4</v>
      </c>
      <c r="C12" s="855" t="s">
        <v>673</v>
      </c>
      <c r="D12" s="856" t="s">
        <v>674</v>
      </c>
      <c r="E12" s="857">
        <f>假设及结论!Q30*100</f>
        <v>30</v>
      </c>
      <c r="F12" s="853"/>
    </row>
    <row r="13" s="843" customFormat="1" ht="15.2" spans="2:8">
      <c r="B13" s="854">
        <v>5</v>
      </c>
      <c r="C13" s="855" t="s">
        <v>675</v>
      </c>
      <c r="D13" s="856" t="s">
        <v>419</v>
      </c>
      <c r="E13" s="857">
        <f>销售收入!C38</f>
        <v>0</v>
      </c>
      <c r="F13" s="853"/>
    </row>
    <row r="14" s="843" customFormat="1" ht="15.2" spans="2:8">
      <c r="B14" s="854">
        <v>6</v>
      </c>
      <c r="C14" s="855" t="s">
        <v>676</v>
      </c>
      <c r="D14" s="856" t="s">
        <v>669</v>
      </c>
      <c r="E14" s="857" t="str">
        <f>MID(假设及结论!$B$32,18,2)</f>
        <v>20</v>
      </c>
      <c r="F14" s="853"/>
    </row>
    <row r="15" s="843" customFormat="1" ht="15.2" spans="2:8">
      <c r="B15" s="854" t="s">
        <v>677</v>
      </c>
      <c r="C15" s="859" t="s">
        <v>678</v>
      </c>
      <c r="D15" s="856"/>
      <c r="E15" s="857"/>
      <c r="F15" s="853"/>
    </row>
    <row r="16" s="843" customFormat="1" ht="15.2" spans="2:8">
      <c r="B16" s="854">
        <v>1</v>
      </c>
      <c r="C16" s="855" t="s">
        <v>679</v>
      </c>
      <c r="D16" s="856"/>
      <c r="E16" s="857"/>
      <c r="F16" s="853"/>
      <c r="H16" s="860"/>
    </row>
    <row r="17" s="843" customFormat="1" ht="15.2" spans="2:8">
      <c r="B17" s="854">
        <v>1.1</v>
      </c>
      <c r="C17" s="855" t="s">
        <v>680</v>
      </c>
      <c r="D17" s="856" t="s">
        <v>471</v>
      </c>
      <c r="E17" s="858">
        <f>假设及结论!O30</f>
        <v>15</v>
      </c>
      <c r="F17" s="853"/>
    </row>
    <row r="18" s="843" customFormat="1" ht="15.2" spans="2:8">
      <c r="B18" s="854"/>
      <c r="C18" s="855" t="s">
        <v>681</v>
      </c>
      <c r="D18" s="856"/>
      <c r="E18" s="857" t="s">
        <v>682</v>
      </c>
      <c r="F18" s="853"/>
    </row>
    <row r="19" s="843" customFormat="1" ht="15.2" spans="2:8">
      <c r="B19" s="854"/>
      <c r="C19" s="855" t="s">
        <v>683</v>
      </c>
      <c r="D19" s="856" t="s">
        <v>674</v>
      </c>
      <c r="E19" s="857">
        <f>假设及结论!P30*100</f>
        <v>3.6</v>
      </c>
      <c r="F19" s="853"/>
    </row>
    <row r="20" s="843" customFormat="1" ht="15.2" spans="2:8">
      <c r="B20" s="854" t="s">
        <v>684</v>
      </c>
      <c r="C20" s="855" t="s">
        <v>685</v>
      </c>
      <c r="D20" s="856" t="s">
        <v>674</v>
      </c>
      <c r="E20" s="857">
        <f>假设及结论!N30*100</f>
        <v>3.45</v>
      </c>
      <c r="F20" s="853"/>
    </row>
    <row r="21" s="843" customFormat="1" ht="15.2" spans="2:8">
      <c r="B21" s="854">
        <v>2</v>
      </c>
      <c r="C21" s="855" t="s">
        <v>686</v>
      </c>
      <c r="D21" s="856"/>
      <c r="E21" s="857"/>
      <c r="F21" s="853"/>
    </row>
    <row r="22" s="843" customFormat="1" ht="16" spans="2:8">
      <c r="B22" s="854">
        <v>2.1</v>
      </c>
      <c r="C22" s="855" t="s">
        <v>687</v>
      </c>
      <c r="D22" s="856" t="s">
        <v>471</v>
      </c>
      <c r="E22" s="858">
        <f>假设及结论!G33</f>
        <v>25</v>
      </c>
      <c r="F22" s="853" t="s">
        <v>688</v>
      </c>
    </row>
    <row r="23" s="843" customFormat="1" ht="15.2" spans="2:8">
      <c r="B23" s="854">
        <v>2.2</v>
      </c>
      <c r="C23" s="855" t="s">
        <v>689</v>
      </c>
      <c r="D23" s="856" t="s">
        <v>674</v>
      </c>
      <c r="E23" s="857">
        <f>假设及结论!H33*100</f>
        <v>5</v>
      </c>
      <c r="F23" s="853"/>
    </row>
    <row r="24" s="843" customFormat="1" ht="15.2" spans="2:8">
      <c r="B24" s="854">
        <v>3</v>
      </c>
      <c r="C24" s="855" t="s">
        <v>690</v>
      </c>
      <c r="D24" s="856" t="s">
        <v>669</v>
      </c>
      <c r="E24" s="857">
        <f>假设及结论!O24</f>
        <v>9.2</v>
      </c>
      <c r="F24" s="853"/>
    </row>
    <row r="25" s="843" customFormat="1" ht="16" spans="2:8">
      <c r="B25" s="854">
        <v>4</v>
      </c>
      <c r="C25" s="855" t="s">
        <v>691</v>
      </c>
      <c r="D25" s="856" t="s">
        <v>674</v>
      </c>
      <c r="E25" s="857">
        <v>0</v>
      </c>
      <c r="F25" s="861" t="s">
        <v>692</v>
      </c>
    </row>
    <row r="26" s="843" customFormat="1" ht="15.2" spans="2:8">
      <c r="B26" s="854">
        <v>5</v>
      </c>
      <c r="C26" s="855" t="s">
        <v>49</v>
      </c>
      <c r="D26" s="856"/>
      <c r="E26" s="857"/>
      <c r="F26" s="853"/>
    </row>
    <row r="27" s="843" customFormat="1" ht="15.2" spans="2:8">
      <c r="B27" s="854">
        <v>5.1</v>
      </c>
      <c r="C27" s="855" t="s">
        <v>693</v>
      </c>
      <c r="D27" s="856" t="s">
        <v>694</v>
      </c>
      <c r="E27" s="858">
        <f>假设及结论!D21</f>
        <v>20</v>
      </c>
      <c r="F27" s="853"/>
    </row>
    <row r="28" s="843" customFormat="1" ht="15.2" spans="2:8">
      <c r="B28" s="854">
        <v>5.2</v>
      </c>
      <c r="C28" s="855" t="s">
        <v>695</v>
      </c>
      <c r="D28" s="856" t="s">
        <v>419</v>
      </c>
      <c r="E28" s="857">
        <f>假设及结论!E21*(1+假设及结论!F21)</f>
        <v>24.992</v>
      </c>
      <c r="F28" s="853"/>
    </row>
    <row r="29" s="843" customFormat="1" ht="15.2" spans="2:8">
      <c r="B29" s="854">
        <v>6</v>
      </c>
      <c r="C29" s="855" t="s">
        <v>696</v>
      </c>
      <c r="D29" s="856" t="s">
        <v>669</v>
      </c>
      <c r="E29" s="857">
        <f>假设及结论!M24</f>
        <v>10</v>
      </c>
      <c r="F29" s="853"/>
    </row>
    <row r="30" s="843" customFormat="1" ht="15.2" spans="2:8">
      <c r="B30" s="854">
        <v>7</v>
      </c>
      <c r="C30" s="855" t="s">
        <v>171</v>
      </c>
      <c r="D30" s="856"/>
      <c r="E30" s="857"/>
      <c r="F30" s="853"/>
    </row>
    <row r="31" s="843" customFormat="1" ht="15.2" spans="2:8">
      <c r="B31" s="854">
        <v>7.1</v>
      </c>
      <c r="C31" s="855" t="s">
        <v>171</v>
      </c>
      <c r="D31" s="856" t="s">
        <v>669</v>
      </c>
      <c r="E31" s="857">
        <f>假设及结论!Q24</f>
        <v>8.5</v>
      </c>
      <c r="F31" s="853"/>
      <c r="H31" s="843" t="s">
        <v>697</v>
      </c>
    </row>
    <row r="32" s="843" customFormat="1" ht="31" spans="2:8">
      <c r="B32" s="854">
        <v>7.2</v>
      </c>
      <c r="C32" s="855" t="s">
        <v>698</v>
      </c>
      <c r="D32" s="856" t="s">
        <v>419</v>
      </c>
      <c r="E32" s="857">
        <f>总成本!E10</f>
        <v>155.3202</v>
      </c>
      <c r="F32" s="853" t="str">
        <f>假设及结论!G21&amp;"公顷，"&amp;假设及结论!H21&amp;"美元/公顷/年，共计租地"&amp;假设及结论!G15&amp;"年"</f>
        <v>1232.7公顷，180美元/公顷/年，共计租地25年</v>
      </c>
      <c r="H32" s="843">
        <v>178</v>
      </c>
    </row>
    <row r="33" s="843" customFormat="1" ht="16" spans="2:8">
      <c r="B33" s="854">
        <v>7.3</v>
      </c>
      <c r="C33" s="855" t="s">
        <v>699</v>
      </c>
      <c r="D33" s="856" t="s">
        <v>419</v>
      </c>
      <c r="E33" s="857">
        <f>假设及结论!K21</f>
        <v>33.52944</v>
      </c>
      <c r="F33" s="853" t="str">
        <f>假设及结论!J21&amp;"美元/公顷"</f>
        <v>272美元/公顷</v>
      </c>
      <c r="H33" s="843">
        <v>272</v>
      </c>
    </row>
    <row r="34" s="843" customFormat="1" ht="15.2" spans="2:8">
      <c r="B34" s="854" t="s">
        <v>700</v>
      </c>
      <c r="C34" s="859" t="s">
        <v>701</v>
      </c>
      <c r="D34" s="856"/>
      <c r="E34" s="857"/>
      <c r="F34" s="853"/>
    </row>
    <row r="35" s="843" customFormat="1" ht="16" spans="2:8">
      <c r="B35" s="854">
        <v>1</v>
      </c>
      <c r="C35" s="855" t="s">
        <v>702</v>
      </c>
      <c r="D35" s="856" t="s">
        <v>703</v>
      </c>
      <c r="E35" s="857">
        <f>假设及结论!I13</f>
        <v>1545</v>
      </c>
      <c r="F35" s="853" t="s">
        <v>704</v>
      </c>
    </row>
    <row r="36" s="843" customFormat="1" ht="16" spans="2:8">
      <c r="B36" s="854">
        <v>2</v>
      </c>
      <c r="C36" s="855" t="s">
        <v>705</v>
      </c>
      <c r="D36" s="856" t="s">
        <v>706</v>
      </c>
      <c r="E36" s="862">
        <f>假设及结论!I15</f>
        <v>0.35</v>
      </c>
      <c r="F36" s="853" t="str">
        <f>TEXT(E36/假设及结论!I21,"##0.##0"&amp;" 美分")</f>
        <v>0.050 美分</v>
      </c>
    </row>
    <row r="37" s="843" customFormat="1" ht="31" spans="2:8">
      <c r="B37" s="854"/>
      <c r="C37" s="857" t="s">
        <v>707</v>
      </c>
      <c r="D37" s="856" t="s">
        <v>706</v>
      </c>
      <c r="E37" s="862">
        <f>假设及结论!M13</f>
        <v>0</v>
      </c>
      <c r="F37" s="853" t="s">
        <v>708</v>
      </c>
    </row>
    <row r="38" s="843" customFormat="1" ht="16" spans="2:8">
      <c r="B38" s="854">
        <v>3</v>
      </c>
      <c r="C38" s="855" t="s">
        <v>709</v>
      </c>
      <c r="D38" s="856" t="s">
        <v>674</v>
      </c>
      <c r="E38" s="863">
        <f>假设及结论!H30</f>
        <v>0.12</v>
      </c>
      <c r="F38" s="853" t="s">
        <v>710</v>
      </c>
    </row>
    <row r="39" s="843" customFormat="1" ht="31" spans="2:8">
      <c r="B39" s="854">
        <v>4</v>
      </c>
      <c r="C39" s="855" t="s">
        <v>711</v>
      </c>
      <c r="D39" s="856" t="s">
        <v>674</v>
      </c>
      <c r="E39" s="864">
        <f>假设及结论!B30</f>
        <v>0.1</v>
      </c>
      <c r="F39" s="853" t="s">
        <v>712</v>
      </c>
    </row>
    <row r="40" s="843" customFormat="1" ht="16" spans="2:8">
      <c r="B40" s="854">
        <v>5</v>
      </c>
      <c r="C40" s="855" t="s">
        <v>713</v>
      </c>
      <c r="D40" s="856" t="s">
        <v>674</v>
      </c>
      <c r="E40" s="864">
        <f>假设及结论!F30</f>
        <v>0</v>
      </c>
      <c r="F40" s="865" t="s">
        <v>714</v>
      </c>
    </row>
    <row r="41" s="843" customFormat="1" ht="16" spans="2:8">
      <c r="B41" s="854">
        <v>6</v>
      </c>
      <c r="C41" s="855" t="s">
        <v>715</v>
      </c>
      <c r="D41" s="856" t="s">
        <v>674</v>
      </c>
      <c r="E41" s="864">
        <f>假设及结论!G30</f>
        <v>0</v>
      </c>
      <c r="F41" s="865" t="s">
        <v>714</v>
      </c>
    </row>
    <row r="42" s="843" customFormat="1" ht="15.2" spans="2:8">
      <c r="B42" s="854">
        <v>7</v>
      </c>
      <c r="C42" s="855" t="s">
        <v>716</v>
      </c>
      <c r="D42" s="856"/>
      <c r="E42" s="857" t="s">
        <v>717</v>
      </c>
      <c r="F42" s="853"/>
    </row>
    <row r="43" s="843" customFormat="1" ht="16" spans="2:8">
      <c r="B43" s="854">
        <v>8</v>
      </c>
      <c r="C43" s="855" t="s">
        <v>718</v>
      </c>
      <c r="D43" s="856"/>
      <c r="E43" s="857" t="s">
        <v>714</v>
      </c>
      <c r="F43" s="866" t="s">
        <v>719</v>
      </c>
    </row>
    <row r="44" s="843" customFormat="1" ht="15.2" spans="2:8">
      <c r="B44" s="867">
        <v>9</v>
      </c>
      <c r="C44" s="868" t="s">
        <v>720</v>
      </c>
      <c r="D44" s="869" t="s">
        <v>419</v>
      </c>
      <c r="E44" s="870">
        <v>0</v>
      </c>
      <c r="F44" s="871"/>
    </row>
    <row r="45" s="843" customFormat="1" ht="15.2" spans="2:8">
      <c r="B45" s="872" t="str">
        <f>"注：汇率暂按 "&amp;假设及结论!I21&amp;" 考虑。"</f>
        <v>注：汇率暂按 7 考虑。</v>
      </c>
      <c r="C45" s="873"/>
      <c r="D45" s="873"/>
      <c r="E45" s="873"/>
      <c r="F45" s="874"/>
    </row>
    <row r="47" spans="2:8">
      <c r="B47" s="875" t="s">
        <v>721</v>
      </c>
      <c r="C47" s="876"/>
      <c r="D47" s="876"/>
      <c r="E47" s="876"/>
      <c r="F47" s="877"/>
    </row>
    <row r="48" spans="2:8">
      <c r="B48" s="878"/>
      <c r="C48" s="878"/>
      <c r="D48" s="878"/>
      <c r="E48" s="878"/>
      <c r="F48" s="879"/>
    </row>
    <row r="49" spans="2:6">
      <c r="B49" s="878"/>
      <c r="C49" s="878"/>
      <c r="D49" s="878"/>
      <c r="E49" s="878"/>
      <c r="F49" s="879"/>
    </row>
    <row r="50" spans="2:6">
      <c r="B50" s="878"/>
      <c r="C50" s="878"/>
      <c r="D50" s="878"/>
      <c r="E50" s="878"/>
      <c r="F50" s="879"/>
    </row>
    <row r="51" spans="2:6">
      <c r="B51" s="878"/>
      <c r="C51" s="878"/>
      <c r="D51" s="878"/>
      <c r="E51" s="878"/>
      <c r="F51" s="879"/>
    </row>
    <row r="52" spans="2:6">
      <c r="B52" s="878"/>
      <c r="C52" s="878"/>
      <c r="D52" s="878"/>
      <c r="E52" s="878"/>
      <c r="F52" s="879"/>
    </row>
    <row r="53" spans="2:6">
      <c r="B53" s="878"/>
      <c r="C53" s="878"/>
      <c r="D53" s="878"/>
      <c r="E53" s="878"/>
      <c r="F53" s="879"/>
    </row>
    <row r="54" spans="2:6">
      <c r="B54" s="878"/>
      <c r="C54" s="878"/>
      <c r="D54" s="878"/>
      <c r="E54" s="878"/>
      <c r="F54" s="879"/>
    </row>
    <row r="55" spans="2:6">
      <c r="B55" s="878"/>
      <c r="C55" s="878"/>
      <c r="D55" s="878"/>
      <c r="E55" s="878"/>
      <c r="F55" s="879"/>
    </row>
    <row r="56" spans="2:6">
      <c r="B56" s="878"/>
      <c r="C56" s="878"/>
      <c r="D56" s="878"/>
      <c r="E56" s="878"/>
      <c r="F56" s="879"/>
    </row>
    <row r="57" spans="2:6">
      <c r="B57" s="878"/>
      <c r="C57" s="878"/>
      <c r="D57" s="878"/>
      <c r="E57" s="878"/>
      <c r="F57" s="879"/>
    </row>
    <row r="58" spans="2:6">
      <c r="B58" s="878"/>
      <c r="C58" s="878"/>
      <c r="D58" s="878"/>
      <c r="E58" s="878"/>
      <c r="F58" s="879"/>
    </row>
    <row r="59" spans="2:6">
      <c r="B59" s="878"/>
      <c r="C59" s="878"/>
      <c r="D59" s="878"/>
      <c r="E59" s="878"/>
      <c r="F59" s="879"/>
    </row>
    <row r="60" spans="2:6">
      <c r="B60" s="878"/>
      <c r="C60" s="878"/>
      <c r="D60" s="878"/>
      <c r="E60" s="878"/>
      <c r="F60" s="879"/>
    </row>
    <row r="61" spans="2:6">
      <c r="B61" s="878"/>
      <c r="C61" s="878"/>
      <c r="D61" s="878"/>
      <c r="E61" s="878"/>
      <c r="F61" s="879"/>
    </row>
    <row r="62" spans="2:6">
      <c r="B62" s="878"/>
      <c r="C62" s="878"/>
      <c r="D62" s="878"/>
      <c r="E62" s="878"/>
      <c r="F62" s="879"/>
    </row>
    <row r="63" spans="2:6">
      <c r="B63" s="880"/>
      <c r="C63" s="880"/>
      <c r="D63" s="880"/>
      <c r="E63" s="880"/>
      <c r="F63" s="881"/>
    </row>
  </sheetData>
  <mergeCells count="3">
    <mergeCell ref="B2:F2"/>
    <mergeCell ref="B45:F45"/>
    <mergeCell ref="B47:F63"/>
  </mergeCell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57"/>
  <sheetViews>
    <sheetView showZeros="0" view="pageBreakPreview" zoomScale="96" zoomScaleNormal="80" workbookViewId="0">
      <pane xSplit="2" ySplit="5" topLeftCell="C8" activePane="bottomRight" state="frozen"/>
      <selection/>
      <selection pane="topRight"/>
      <selection pane="bottomLeft"/>
      <selection pane="bottomRight" activeCell="C13" sqref="C13"/>
    </sheetView>
  </sheetViews>
  <sheetFormatPr defaultColWidth="8.83035714285714" defaultRowHeight="17.6"/>
  <cols>
    <col min="1" max="1" width="5.5" style="25" customWidth="1"/>
    <col min="2" max="2" width="31" style="808" customWidth="1"/>
    <col min="3" max="3" width="11.75" style="25" customWidth="1"/>
    <col min="4" max="4" width="9.16071428571429" style="27" customWidth="1"/>
    <col min="5" max="5" width="9.30357142857143" style="27" customWidth="1"/>
    <col min="6" max="6" width="8.75" style="27" customWidth="1"/>
    <col min="7" max="7" width="8.89285714285714" style="27" customWidth="1"/>
    <col min="8" max="8" width="8.60714285714286" style="27" customWidth="1"/>
    <col min="9" max="9" width="8.32142857142857" style="27" customWidth="1"/>
    <col min="10" max="24" width="9.16071428571429" style="27" customWidth="1"/>
    <col min="25" max="25" width="9.16071428571429" style="25" customWidth="1"/>
    <col min="26" max="26" width="6.83928571428571" style="25" customWidth="1"/>
    <col min="27" max="28" width="8.83035714285714" style="25"/>
    <col min="29" max="29" width="9.71428571428571" style="25"/>
    <col min="30" max="16384" width="8.83035714285714" style="25"/>
  </cols>
  <sheetData>
    <row r="1" spans="1:33">
      <c r="A1" s="74"/>
      <c r="B1" s="809"/>
      <c r="C1" s="31"/>
      <c r="D1" s="810"/>
      <c r="E1" s="32"/>
      <c r="F1" s="32"/>
      <c r="G1" s="32"/>
      <c r="H1" s="32"/>
      <c r="I1" s="32"/>
      <c r="J1" s="32"/>
      <c r="K1" s="32"/>
      <c r="L1" s="32"/>
      <c r="M1" s="32"/>
      <c r="N1" s="32"/>
      <c r="O1" s="32"/>
      <c r="P1" s="32"/>
      <c r="Q1" s="32"/>
      <c r="R1" s="32"/>
      <c r="S1" s="32"/>
      <c r="T1" s="32"/>
      <c r="U1" s="32"/>
      <c r="V1" s="32"/>
      <c r="W1" s="32"/>
      <c r="X1" s="32"/>
    </row>
    <row r="2" ht="26" spans="1:33">
      <c r="A2" s="33" t="s">
        <v>722</v>
      </c>
      <c r="B2" s="33"/>
      <c r="C2" s="33"/>
      <c r="D2" s="33"/>
      <c r="E2" s="33"/>
      <c r="F2" s="33"/>
      <c r="G2" s="33"/>
      <c r="H2" s="33"/>
      <c r="I2" s="33"/>
      <c r="J2" s="33"/>
      <c r="K2" s="33"/>
      <c r="L2" s="33"/>
      <c r="M2" s="33"/>
      <c r="N2" s="33"/>
      <c r="O2" s="33"/>
      <c r="P2" s="33"/>
      <c r="Q2" s="33"/>
      <c r="R2" s="33"/>
      <c r="S2" s="33"/>
      <c r="T2" s="33"/>
      <c r="U2" s="33"/>
      <c r="V2" s="33"/>
      <c r="W2" s="33"/>
      <c r="X2" s="33"/>
    </row>
    <row r="3" ht="18" spans="1:33">
      <c r="A3" s="35"/>
      <c r="B3" s="811"/>
      <c r="C3" s="35"/>
      <c r="D3" s="759"/>
      <c r="E3" s="759"/>
      <c r="F3" s="759"/>
      <c r="G3" s="759"/>
      <c r="H3" s="759"/>
      <c r="I3" s="759"/>
      <c r="J3" s="759"/>
      <c r="K3" s="759"/>
      <c r="L3" s="759"/>
      <c r="M3" s="759"/>
      <c r="N3" s="759"/>
      <c r="O3" s="759"/>
      <c r="P3" s="759"/>
      <c r="Q3" s="759"/>
      <c r="R3" s="759"/>
      <c r="T3" s="812"/>
      <c r="U3" s="812"/>
      <c r="V3" s="812"/>
      <c r="W3" s="813" t="s">
        <v>723</v>
      </c>
      <c r="X3" s="813"/>
    </row>
    <row r="4" spans="1:33">
      <c r="A4" s="38" t="s">
        <v>724</v>
      </c>
      <c r="B4" s="814" t="s">
        <v>725</v>
      </c>
      <c r="C4" s="815" t="s">
        <v>243</v>
      </c>
      <c r="D4" s="59" t="s">
        <v>726</v>
      </c>
      <c r="E4" s="59"/>
      <c r="F4" s="59"/>
      <c r="G4" s="59"/>
      <c r="H4" s="59"/>
      <c r="I4" s="59"/>
      <c r="J4" s="59"/>
      <c r="K4" s="59"/>
      <c r="L4" s="59"/>
      <c r="M4" s="59"/>
      <c r="N4" s="59"/>
      <c r="O4" s="59"/>
      <c r="P4" s="59"/>
      <c r="Q4" s="59"/>
      <c r="R4" s="59"/>
      <c r="S4" s="59"/>
      <c r="T4" s="59"/>
      <c r="U4" s="59"/>
      <c r="V4" s="59"/>
      <c r="W4" s="59"/>
      <c r="X4" s="59"/>
      <c r="Y4" s="59"/>
      <c r="Z4" s="59"/>
      <c r="AA4" s="59"/>
      <c r="AB4" s="59"/>
      <c r="AC4" s="59"/>
      <c r="AD4" s="59"/>
    </row>
    <row r="5" ht="35.25" customHeight="1" spans="1:33">
      <c r="A5" s="43" t="s">
        <v>727</v>
      </c>
      <c r="B5" s="816"/>
      <c r="C5" s="817"/>
      <c r="D5" s="45">
        <v>1</v>
      </c>
      <c r="E5" s="45">
        <v>2</v>
      </c>
      <c r="F5" s="45">
        <v>3</v>
      </c>
      <c r="G5" s="45">
        <v>4</v>
      </c>
      <c r="H5" s="45">
        <v>5</v>
      </c>
      <c r="I5" s="45">
        <v>6</v>
      </c>
      <c r="J5" s="45">
        <v>7</v>
      </c>
      <c r="K5" s="45">
        <v>8</v>
      </c>
      <c r="L5" s="45">
        <v>9</v>
      </c>
      <c r="M5" s="45">
        <v>10</v>
      </c>
      <c r="N5" s="45">
        <v>11</v>
      </c>
      <c r="O5" s="45">
        <v>12</v>
      </c>
      <c r="P5" s="45">
        <v>13</v>
      </c>
      <c r="Q5" s="45">
        <v>14</v>
      </c>
      <c r="R5" s="45">
        <v>15</v>
      </c>
      <c r="S5" s="45">
        <v>16</v>
      </c>
      <c r="T5" s="45">
        <v>17</v>
      </c>
      <c r="U5" s="45">
        <v>18</v>
      </c>
      <c r="V5" s="45">
        <v>19</v>
      </c>
      <c r="W5" s="45">
        <v>20</v>
      </c>
      <c r="X5" s="45">
        <v>21</v>
      </c>
      <c r="Y5" s="45">
        <v>22</v>
      </c>
      <c r="Z5" s="45">
        <v>23</v>
      </c>
      <c r="AA5" s="45">
        <v>24</v>
      </c>
      <c r="AB5" s="45">
        <v>25</v>
      </c>
      <c r="AC5" s="45">
        <v>26</v>
      </c>
      <c r="AD5" s="45">
        <v>27</v>
      </c>
    </row>
    <row r="6" spans="1:33">
      <c r="A6" s="42">
        <v>1</v>
      </c>
      <c r="B6" s="818" t="s">
        <v>728</v>
      </c>
      <c r="C6" s="819">
        <f t="shared" ref="C6:C15" si="0">SUM(D6:AD6)</f>
        <v>940024.386</v>
      </c>
      <c r="D6" s="45"/>
      <c r="E6" s="67">
        <f>销售收入!E6</f>
        <v>39737.25</v>
      </c>
      <c r="F6" s="67">
        <f>销售收入!F6</f>
        <v>39339.8775</v>
      </c>
      <c r="G6" s="67">
        <f>销售收入!G6</f>
        <v>39180.9285</v>
      </c>
      <c r="H6" s="67">
        <f>销售收入!H6</f>
        <v>39021.9795</v>
      </c>
      <c r="I6" s="67">
        <f>销售收入!I6</f>
        <v>38863.0305</v>
      </c>
      <c r="J6" s="67">
        <f>销售收入!J6</f>
        <v>38704.0815</v>
      </c>
      <c r="K6" s="67">
        <f>销售收入!K6</f>
        <v>38545.1325</v>
      </c>
      <c r="L6" s="67">
        <f>销售收入!L6</f>
        <v>38386.1835</v>
      </c>
      <c r="M6" s="67">
        <f>销售收入!M6</f>
        <v>38227.2345</v>
      </c>
      <c r="N6" s="67">
        <f>销售收入!N6</f>
        <v>38068.2855</v>
      </c>
      <c r="O6" s="67">
        <f>销售收入!O6</f>
        <v>37909.3365</v>
      </c>
      <c r="P6" s="67">
        <f>销售收入!P6</f>
        <v>37750.3875</v>
      </c>
      <c r="Q6" s="67">
        <f>销售收入!Q6</f>
        <v>37591.4385</v>
      </c>
      <c r="R6" s="67">
        <f>销售收入!R6</f>
        <v>37432.4895</v>
      </c>
      <c r="S6" s="67">
        <f>销售收入!S6</f>
        <v>37273.5405</v>
      </c>
      <c r="T6" s="67">
        <f>销售收入!T6</f>
        <v>37114.5915</v>
      </c>
      <c r="U6" s="67">
        <f>销售收入!U6</f>
        <v>36955.6425</v>
      </c>
      <c r="V6" s="67">
        <f>销售收入!V6</f>
        <v>36796.6935</v>
      </c>
      <c r="W6" s="67">
        <f>销售收入!W6</f>
        <v>36637.7445</v>
      </c>
      <c r="X6" s="67">
        <f>销售收入!X6</f>
        <v>36478.7955</v>
      </c>
      <c r="Y6" s="67">
        <f>销售收入!Y6</f>
        <v>36319.8465</v>
      </c>
      <c r="Z6" s="67">
        <f>销售收入!Z6</f>
        <v>36160.8975</v>
      </c>
      <c r="AA6" s="67">
        <f>销售收入!AA6</f>
        <v>36001.9485</v>
      </c>
      <c r="AB6" s="67">
        <f>销售收入!AB6</f>
        <v>35842.9995</v>
      </c>
      <c r="AC6" s="67">
        <f>销售收入!AC6</f>
        <v>35684.0505</v>
      </c>
      <c r="AD6" s="67">
        <f>销售收入!AD6</f>
        <v>0</v>
      </c>
    </row>
    <row r="7" spans="1:33">
      <c r="A7" s="42">
        <v>2</v>
      </c>
      <c r="B7" s="818" t="s">
        <v>729</v>
      </c>
      <c r="C7" s="819">
        <f t="shared" si="0"/>
        <v>0</v>
      </c>
      <c r="D7" s="45"/>
      <c r="E7" s="67"/>
      <c r="F7" s="67"/>
      <c r="G7" s="67"/>
      <c r="H7" s="67"/>
      <c r="I7" s="67"/>
      <c r="J7" s="67"/>
      <c r="K7" s="67"/>
      <c r="L7" s="67"/>
      <c r="M7" s="67"/>
      <c r="N7" s="67"/>
      <c r="O7" s="67"/>
      <c r="P7" s="67"/>
      <c r="Q7" s="67"/>
      <c r="R7" s="67"/>
      <c r="S7" s="67"/>
      <c r="T7" s="67"/>
      <c r="U7" s="67"/>
      <c r="V7" s="67"/>
      <c r="W7" s="67"/>
      <c r="X7" s="67"/>
      <c r="Y7" s="67"/>
      <c r="Z7" s="67"/>
      <c r="AA7" s="67"/>
      <c r="AB7" s="67"/>
      <c r="AC7" s="67"/>
      <c r="AD7" s="67"/>
    </row>
    <row r="8" spans="1:33">
      <c r="A8" s="42">
        <v>3</v>
      </c>
      <c r="B8" s="820" t="s">
        <v>730</v>
      </c>
      <c r="C8" s="819">
        <f t="shared" si="0"/>
        <v>9400.24386</v>
      </c>
      <c r="D8" s="45"/>
      <c r="E8" s="67">
        <f>销售收入!E30</f>
        <v>397.3725</v>
      </c>
      <c r="F8" s="67">
        <f>销售收入!F30</f>
        <v>393.398775</v>
      </c>
      <c r="G8" s="67">
        <f>销售收入!G30</f>
        <v>391.809285</v>
      </c>
      <c r="H8" s="67">
        <f>销售收入!H30</f>
        <v>390.219795</v>
      </c>
      <c r="I8" s="67">
        <f>销售收入!I30</f>
        <v>388.630305</v>
      </c>
      <c r="J8" s="67">
        <f>销售收入!J30</f>
        <v>387.040815</v>
      </c>
      <c r="K8" s="67">
        <f>销售收入!K30</f>
        <v>385.451325</v>
      </c>
      <c r="L8" s="67">
        <f>销售收入!L30</f>
        <v>383.861835</v>
      </c>
      <c r="M8" s="67">
        <f>销售收入!M30</f>
        <v>382.272345</v>
      </c>
      <c r="N8" s="67">
        <f>销售收入!N30</f>
        <v>380.682855</v>
      </c>
      <c r="O8" s="67">
        <f>销售收入!O30</f>
        <v>379.093365</v>
      </c>
      <c r="P8" s="67">
        <f>销售收入!P30</f>
        <v>377.503875</v>
      </c>
      <c r="Q8" s="67">
        <f>销售收入!Q30</f>
        <v>375.914385</v>
      </c>
      <c r="R8" s="67">
        <f>销售收入!R30</f>
        <v>374.324895</v>
      </c>
      <c r="S8" s="67">
        <f>销售收入!S30</f>
        <v>372.735405</v>
      </c>
      <c r="T8" s="67">
        <f>销售收入!T30</f>
        <v>371.145915</v>
      </c>
      <c r="U8" s="67">
        <f>销售收入!U30</f>
        <v>369.556425</v>
      </c>
      <c r="V8" s="67">
        <f>销售收入!V30</f>
        <v>367.966935</v>
      </c>
      <c r="W8" s="67">
        <f>销售收入!W30</f>
        <v>366.377445</v>
      </c>
      <c r="X8" s="67">
        <f>销售收入!X30</f>
        <v>364.787955</v>
      </c>
      <c r="Y8" s="67">
        <f>销售收入!Y30</f>
        <v>363.198465</v>
      </c>
      <c r="Z8" s="67">
        <f>销售收入!Z30</f>
        <v>361.608975</v>
      </c>
      <c r="AA8" s="67">
        <f>销售收入!AA30</f>
        <v>360.019485</v>
      </c>
      <c r="AB8" s="67">
        <f>销售收入!AB30</f>
        <v>358.429995</v>
      </c>
      <c r="AC8" s="67">
        <f>销售收入!AC30</f>
        <v>356.840505</v>
      </c>
      <c r="AD8" s="67">
        <f>销售收入!AD30</f>
        <v>0</v>
      </c>
    </row>
    <row r="9" spans="1:33">
      <c r="A9" s="42">
        <v>4</v>
      </c>
      <c r="B9" s="820" t="s">
        <v>731</v>
      </c>
      <c r="C9" s="819">
        <f t="shared" si="0"/>
        <v>345351.775811799</v>
      </c>
      <c r="D9" s="67">
        <f>总成本!D21</f>
        <v>0</v>
      </c>
      <c r="E9" s="67">
        <f>总成本!E21</f>
        <v>19840.6580286799</v>
      </c>
      <c r="F9" s="67">
        <f>总成本!F21</f>
        <v>19395.106046177</v>
      </c>
      <c r="G9" s="67">
        <f>总成本!G21</f>
        <v>18949.5561432517</v>
      </c>
      <c r="H9" s="67">
        <f>总成本!H21</f>
        <v>18504.0083219834</v>
      </c>
      <c r="I9" s="67">
        <f>总成本!I21</f>
        <v>18058.4625844539</v>
      </c>
      <c r="J9" s="67">
        <f>总成本!J21</f>
        <v>17879.3662898914</v>
      </c>
      <c r="K9" s="67">
        <f>总成本!K21</f>
        <v>17433.8247260926</v>
      </c>
      <c r="L9" s="67">
        <f>总成本!L21</f>
        <v>16988.2852522901</v>
      </c>
      <c r="M9" s="67">
        <f>总成本!M21</f>
        <v>16542.7478705737</v>
      </c>
      <c r="N9" s="67">
        <f>总成本!N21</f>
        <v>16097.2125830357</v>
      </c>
      <c r="O9" s="67">
        <f>总成本!O21</f>
        <v>15918.1267489146</v>
      </c>
      <c r="P9" s="67">
        <f>总成本!P21</f>
        <v>15472.5956560178</v>
      </c>
      <c r="Q9" s="67">
        <f>总成本!Q21</f>
        <v>15027.066663588</v>
      </c>
      <c r="R9" s="67">
        <f>总成本!R21</f>
        <v>14581.5397737258</v>
      </c>
      <c r="S9" s="67">
        <f>总成本!S21</f>
        <v>14136.0149885338</v>
      </c>
      <c r="T9" s="67">
        <f>总成本!T21</f>
        <v>13956.9396672611</v>
      </c>
      <c r="U9" s="67">
        <f>总成本!U21</f>
        <v>13959.0506577283</v>
      </c>
      <c r="V9" s="67">
        <f>总成本!V21</f>
        <v>13961.1637591859</v>
      </c>
      <c r="W9" s="67">
        <f>总成本!W21</f>
        <v>13963.278973745</v>
      </c>
      <c r="X9" s="67">
        <f>总成本!X21</f>
        <v>13965.3963035187</v>
      </c>
      <c r="Y9" s="67">
        <f>总成本!Y21</f>
        <v>4108.96353627395</v>
      </c>
      <c r="Z9" s="67">
        <f>总成本!Z21</f>
        <v>4111.0851028245</v>
      </c>
      <c r="AA9" s="67">
        <f>总成本!AA21</f>
        <v>4113.2087909416</v>
      </c>
      <c r="AB9" s="67">
        <f>总成本!AB21</f>
        <v>4115.33460274682</v>
      </c>
      <c r="AC9" s="67">
        <f>总成本!AC21</f>
        <v>4117.46254036385</v>
      </c>
      <c r="AD9" s="67">
        <f>总成本!AD21</f>
        <v>155.320199999998</v>
      </c>
    </row>
    <row r="10" ht="18" spans="1:33">
      <c r="A10" s="42">
        <v>5</v>
      </c>
      <c r="B10" s="821" t="s">
        <v>732</v>
      </c>
      <c r="C10" s="819">
        <f t="shared" si="0"/>
        <v>585272.366328201</v>
      </c>
      <c r="D10" s="67">
        <f>D6+D7-D8-D9</f>
        <v>0</v>
      </c>
      <c r="E10" s="67">
        <f>E6+E7-E8-E9</f>
        <v>19499.2194713201</v>
      </c>
      <c r="F10" s="67">
        <f t="shared" ref="F10:X10" si="1">F6+F7-F8-F9</f>
        <v>19551.372678823</v>
      </c>
      <c r="G10" s="67">
        <f t="shared" si="1"/>
        <v>19839.5630717483</v>
      </c>
      <c r="H10" s="67">
        <f t="shared" si="1"/>
        <v>20127.7513830166</v>
      </c>
      <c r="I10" s="67">
        <f t="shared" si="1"/>
        <v>20415.9376105461</v>
      </c>
      <c r="J10" s="67">
        <f t="shared" si="1"/>
        <v>20437.6743951086</v>
      </c>
      <c r="K10" s="67">
        <f t="shared" si="1"/>
        <v>20725.8564489074</v>
      </c>
      <c r="L10" s="67">
        <f t="shared" si="1"/>
        <v>21014.0364127099</v>
      </c>
      <c r="M10" s="67">
        <f t="shared" si="1"/>
        <v>21302.2142844263</v>
      </c>
      <c r="N10" s="67">
        <f t="shared" si="1"/>
        <v>21590.3900619643</v>
      </c>
      <c r="O10" s="67">
        <f t="shared" si="1"/>
        <v>21612.1163860854</v>
      </c>
      <c r="P10" s="67">
        <f t="shared" si="1"/>
        <v>21900.2879689822</v>
      </c>
      <c r="Q10" s="67">
        <f t="shared" si="1"/>
        <v>22188.457451412</v>
      </c>
      <c r="R10" s="67">
        <f t="shared" si="1"/>
        <v>22476.6248312742</v>
      </c>
      <c r="S10" s="67">
        <f t="shared" si="1"/>
        <v>22764.7901064662</v>
      </c>
      <c r="T10" s="67">
        <f t="shared" si="1"/>
        <v>22786.5059177389</v>
      </c>
      <c r="U10" s="67">
        <f t="shared" si="1"/>
        <v>22627.0354172717</v>
      </c>
      <c r="V10" s="67">
        <f t="shared" si="1"/>
        <v>22467.5628058141</v>
      </c>
      <c r="W10" s="67">
        <f t="shared" si="1"/>
        <v>22308.088081255</v>
      </c>
      <c r="X10" s="67">
        <f t="shared" si="1"/>
        <v>22148.6112414813</v>
      </c>
      <c r="Y10" s="67">
        <f t="shared" ref="Y10:AD10" si="2">Y6+Y7-Y8-Y9</f>
        <v>31847.684498726</v>
      </c>
      <c r="Z10" s="67">
        <f t="shared" si="2"/>
        <v>31688.2034221755</v>
      </c>
      <c r="AA10" s="67">
        <f t="shared" si="2"/>
        <v>31528.7202240584</v>
      </c>
      <c r="AB10" s="67">
        <f t="shared" si="2"/>
        <v>31369.2349022532</v>
      </c>
      <c r="AC10" s="67">
        <f t="shared" si="2"/>
        <v>31209.7474546362</v>
      </c>
      <c r="AD10" s="67">
        <f t="shared" si="2"/>
        <v>-155.320199999998</v>
      </c>
      <c r="AG10" s="822"/>
    </row>
    <row r="11" spans="1:33">
      <c r="A11" s="42">
        <v>6</v>
      </c>
      <c r="B11" s="818" t="s">
        <v>733</v>
      </c>
      <c r="C11" s="819">
        <f t="shared" si="0"/>
        <v>0</v>
      </c>
      <c r="D11" s="45"/>
      <c r="E11" s="67">
        <f>IF(AND(SUM($D$14:D$14)&lt;0,E5&lt;ConstructPeriod+5),SUM($D$14:D$14),0)</f>
        <v>0</v>
      </c>
      <c r="F11" s="67">
        <f>IF(AND(SUM($D$14:E$14)&lt;0,F5&lt;ConstructPeriod+5),SUM($D$14:E$14),0)</f>
        <v>0</v>
      </c>
      <c r="G11" s="67">
        <f>IF(AND(SUM($D$14:F$14)&lt;0,G5&lt;ConstructPeriod+5),SUM($D$14:F$14),0)</f>
        <v>0</v>
      </c>
      <c r="H11" s="67">
        <f>IF(AND(SUM($D$14:G$14)&lt;0,H5&lt;ConstructPeriod+5),SUM($D$14:G$14),0)</f>
        <v>0</v>
      </c>
      <c r="I11" s="67">
        <f>IF(AND(SUM($D$14:H$14)&lt;0,I5&lt;ConstructPeriod+5),SUM($D$14:H$14),0)</f>
        <v>0</v>
      </c>
      <c r="J11" s="67">
        <f>IF(AND(SUM($D$14:I$14)&lt;0,J5&lt;ConstructPeriod+5),SUM($D$14:I$14),0)</f>
        <v>0</v>
      </c>
      <c r="K11" s="67">
        <f>IF(AND(SUM($D$14:J$14)&lt;0,K5&lt;ConstructPeriod+5),SUM($D$14:J$14),0)</f>
        <v>0</v>
      </c>
      <c r="L11" s="67">
        <f>IF(AND(SUM($D$14:K$14)&lt;0,L5&lt;ConstructPeriod+5),SUM($D$14:K$14),0)</f>
        <v>0</v>
      </c>
      <c r="M11" s="67">
        <f>IF(AND(SUM($D$14:L$14)&lt;0,M5&lt;ConstructPeriod+5),SUM($D$14:L$14),0)</f>
        <v>0</v>
      </c>
      <c r="N11" s="67">
        <f>IF(AND(SUM($D$14:M$14)&lt;0,N5&lt;ConstructPeriod+5),SUM($D$14:M$14),0)</f>
        <v>0</v>
      </c>
      <c r="O11" s="67">
        <f>IF(AND(SUM($D$14:N$14)&lt;0,O5&lt;ConstructPeriod+5),SUM($D$14:N$14),0)</f>
        <v>0</v>
      </c>
      <c r="P11" s="67">
        <f>IF(AND(SUM($D$14:O$14)&lt;0,P5&lt;ConstructPeriod+5),SUM($D$14:O$14),0)</f>
        <v>0</v>
      </c>
      <c r="Q11" s="67">
        <f>IF(AND(SUM($D$14:P$14)&lt;0,Q5&lt;ConstructPeriod+5),SUM($D$14:P$14),0)</f>
        <v>0</v>
      </c>
      <c r="R11" s="67">
        <f>IF(AND(SUM($D$14:Q$14)&lt;0,R5&lt;ConstructPeriod+5),SUM($D$14:Q$14),0)</f>
        <v>0</v>
      </c>
      <c r="S11" s="67">
        <f>IF(AND(SUM($D$14:R$14)&lt;0,S5&lt;ConstructPeriod+5),SUM($D$14:R$14),0)</f>
        <v>0</v>
      </c>
      <c r="T11" s="67">
        <f>IF(AND(SUM($D$14:S$14)&lt;0,T5&lt;ConstructPeriod+5),SUM($D$14:S$14),0)</f>
        <v>0</v>
      </c>
      <c r="U11" s="67">
        <f>IF(AND(SUM($D$14:T$14)&lt;0,U5&lt;ConstructPeriod+5),SUM($D$14:T$14),0)</f>
        <v>0</v>
      </c>
      <c r="V11" s="67">
        <f>IF(AND(SUM($D$14:U$14)&lt;0,V5&lt;ConstructPeriod+5),SUM($D$14:U$14),0)</f>
        <v>0</v>
      </c>
      <c r="W11" s="67">
        <f>IF(AND(SUM($D$14:V$14)&lt;0,W5&lt;ConstructPeriod+5),SUM($D$14:V$14),0)</f>
        <v>0</v>
      </c>
      <c r="X11" s="67">
        <f>IF(AND(SUM($D$14:W$14)&lt;0,X5&lt;ConstructPeriod+5),SUM($D$14:W$14),0)</f>
        <v>0</v>
      </c>
      <c r="Y11" s="67">
        <f>IF(AND(SUM($D$14:X$14)&lt;0,Y5&lt;ConstructPeriod+5),SUM($D$14:X$14),0)</f>
        <v>0</v>
      </c>
      <c r="Z11" s="67">
        <f>IF(AND(SUM($D$14:Y$14)&lt;0,Z5&lt;ConstructPeriod+5),SUM($D$14:Y$14),0)</f>
        <v>0</v>
      </c>
      <c r="AA11" s="67">
        <f>IF(AND(SUM($D$14:Z$14)&lt;0,AA5&lt;ConstructPeriod+5),SUM($D$14:Z$14),0)</f>
        <v>0</v>
      </c>
      <c r="AB11" s="67">
        <f>IF(AND(SUM($D$14:AA$14)&lt;0,AB5&lt;ConstructPeriod+5),SUM($D$14:AA$14),0)</f>
        <v>0</v>
      </c>
      <c r="AC11" s="67">
        <f>IF(AND(SUM($D$14:AB$14)&lt;0,AC5&lt;ConstructPeriod+5),SUM($D$14:AB$14),0)</f>
        <v>0</v>
      </c>
      <c r="AD11" s="67">
        <f>IF(AND(SUM($D$14:AC$14)&lt;0,AD5&lt;ConstructPeriod+5),SUM($D$14:AC$14),0)</f>
        <v>0</v>
      </c>
    </row>
    <row r="12" ht="18" spans="1:33">
      <c r="A12" s="42">
        <v>7</v>
      </c>
      <c r="B12" s="820" t="s">
        <v>734</v>
      </c>
      <c r="C12" s="819">
        <f t="shared" si="0"/>
        <v>585427.686528201</v>
      </c>
      <c r="D12" s="45"/>
      <c r="E12" s="67">
        <f t="shared" ref="E12:X12" si="3">IF(E10+E11&lt;0,0,E10+E11)</f>
        <v>19499.2194713201</v>
      </c>
      <c r="F12" s="67">
        <f t="shared" si="3"/>
        <v>19551.372678823</v>
      </c>
      <c r="G12" s="67">
        <f t="shared" si="3"/>
        <v>19839.5630717483</v>
      </c>
      <c r="H12" s="67">
        <f t="shared" si="3"/>
        <v>20127.7513830166</v>
      </c>
      <c r="I12" s="67">
        <f t="shared" si="3"/>
        <v>20415.9376105461</v>
      </c>
      <c r="J12" s="67">
        <f t="shared" si="3"/>
        <v>20437.6743951086</v>
      </c>
      <c r="K12" s="67">
        <f t="shared" si="3"/>
        <v>20725.8564489074</v>
      </c>
      <c r="L12" s="67">
        <f t="shared" si="3"/>
        <v>21014.0364127099</v>
      </c>
      <c r="M12" s="67">
        <f t="shared" si="3"/>
        <v>21302.2142844263</v>
      </c>
      <c r="N12" s="67">
        <f t="shared" si="3"/>
        <v>21590.3900619643</v>
      </c>
      <c r="O12" s="67">
        <f t="shared" si="3"/>
        <v>21612.1163860854</v>
      </c>
      <c r="P12" s="67">
        <f t="shared" si="3"/>
        <v>21900.2879689822</v>
      </c>
      <c r="Q12" s="67">
        <f t="shared" si="3"/>
        <v>22188.457451412</v>
      </c>
      <c r="R12" s="67">
        <f t="shared" si="3"/>
        <v>22476.6248312742</v>
      </c>
      <c r="S12" s="67">
        <f t="shared" si="3"/>
        <v>22764.7901064662</v>
      </c>
      <c r="T12" s="67">
        <f t="shared" si="3"/>
        <v>22786.5059177389</v>
      </c>
      <c r="U12" s="67">
        <f t="shared" si="3"/>
        <v>22627.0354172717</v>
      </c>
      <c r="V12" s="67">
        <f t="shared" si="3"/>
        <v>22467.5628058141</v>
      </c>
      <c r="W12" s="67">
        <f t="shared" si="3"/>
        <v>22308.088081255</v>
      </c>
      <c r="X12" s="67">
        <f t="shared" si="3"/>
        <v>22148.6112414813</v>
      </c>
      <c r="Y12" s="67">
        <f t="shared" ref="Y12:AD12" si="4">IF(Y10+Y11&lt;0,0,Y10+Y11)</f>
        <v>31847.684498726</v>
      </c>
      <c r="Z12" s="67">
        <f t="shared" si="4"/>
        <v>31688.2034221755</v>
      </c>
      <c r="AA12" s="67">
        <f t="shared" si="4"/>
        <v>31528.7202240584</v>
      </c>
      <c r="AB12" s="67">
        <f t="shared" si="4"/>
        <v>31369.2349022532</v>
      </c>
      <c r="AC12" s="67">
        <f t="shared" si="4"/>
        <v>31209.7474546362</v>
      </c>
      <c r="AD12" s="67">
        <f t="shared" si="4"/>
        <v>0</v>
      </c>
    </row>
    <row r="13" s="806" customFormat="1" spans="1:33">
      <c r="A13" s="764">
        <v>8</v>
      </c>
      <c r="B13" s="823" t="str">
        <f>"所得税（"&amp;假设及结论!B30*100&amp;"%)"&amp;"  减免"&amp;假设及结论!D30&amp;"年"</f>
        <v>所得税（10%)  减免10年</v>
      </c>
      <c r="C13" s="824">
        <f t="shared" si="0"/>
        <v>40251.4060771595</v>
      </c>
      <c r="D13" s="825"/>
      <c r="E13" s="766">
        <f>IF(假设及结论!$C$30="YES",IF(E5&lt;=ConstructPeriod+3,0,IF(E5&lt;=ConstructPeriod+6,E12*假设及结论!$B$30*0.5,E12*假设及结论!$B$30)),E12*IF(E5&gt;10,假设及结论!$B$30,0))</f>
        <v>0</v>
      </c>
      <c r="F13" s="766">
        <f>IF(假设及结论!$C$30="YES",IF(F5&lt;=ConstructPeriod+3,0,IF(F5&lt;=ConstructPeriod+6,F12*假设及结论!$B$30*0.5,F12*假设及结论!$B$30)),F12*IF(F5&gt;10,假设及结论!$B$30,0))</f>
        <v>0</v>
      </c>
      <c r="G13" s="766">
        <f>IF(假设及结论!$C$30="YES",IF(G5&lt;=ConstructPeriod+3,0,IF(G5&lt;=ConstructPeriod+6,G12*假设及结论!$B$30*0.5,G12*假设及结论!$B$30)),G12*IF(G5&gt;10,假设及结论!$B$30,0))</f>
        <v>0</v>
      </c>
      <c r="H13" s="766">
        <f>IF(假设及结论!$C$30="YES",IF(H5&lt;=ConstructPeriod+3,0,IF(H5&lt;=ConstructPeriod+6,H12*假设及结论!$B$30*0.5,H12*假设及结论!$B$30)),H12*IF(H5&gt;10,假设及结论!$B$30,0))</f>
        <v>0</v>
      </c>
      <c r="I13" s="766">
        <f>IF(假设及结论!$C$30="YES",IF(I5&lt;=ConstructPeriod+3,0,IF(I5&lt;=ConstructPeriod+6,I12*假设及结论!$B$30*0.5,I12*假设及结论!$B$30)),I12*IF(I5&gt;10,假设及结论!$B$30,0))</f>
        <v>0</v>
      </c>
      <c r="J13" s="766">
        <f>IF(假设及结论!$C$30="YES",IF(J5&lt;=ConstructPeriod+3,0,IF(J5&lt;=ConstructPeriod+6,J12*假设及结论!$B$30*0.5,J12*假设及结论!$B$30)),J12*IF(J5&gt;10,假设及结论!$B$30,0))</f>
        <v>0</v>
      </c>
      <c r="K13" s="766">
        <f>IF(假设及结论!$C$30="YES",IF(K5&lt;=ConstructPeriod+3,0,IF(K5&lt;=ConstructPeriod+6,K12*假设及结论!$B$30*0.5,K12*假设及结论!$B$30)),K12*IF(K5&gt;10,假设及结论!$B$30,0))</f>
        <v>0</v>
      </c>
      <c r="L13" s="766">
        <f>IF(假设及结论!$C$30="YES",IF(L5&lt;=ConstructPeriod+3,0,IF(L5&lt;=ConstructPeriod+6,L12*假设及结论!$B$30*0.5,L12*假设及结论!$B$30)),L12*IF(L5&gt;10,假设及结论!$B$30,0))</f>
        <v>0</v>
      </c>
      <c r="M13" s="766">
        <f>IF(假设及结论!$C$30="YES",IF(M5&lt;=ConstructPeriod+3,0,IF(M5&lt;=ConstructPeriod+6,M12*假设及结论!$B$30*0.5,M12*假设及结论!$B$30)),M12*IF(M5&gt;10,假设及结论!$B$30,0))</f>
        <v>0</v>
      </c>
      <c r="N13" s="766">
        <f>IF(假设及结论!$C$30="YES",IF(N5&lt;=ConstructPeriod+3,0,IF(N5&lt;=ConstructPeriod+6,N12*假设及结论!$B$30*0.5,N12*假设及结论!$B$30)),N12*IF(N5&gt;10,假设及结论!$B$30,0))</f>
        <v>2159.03900619643</v>
      </c>
      <c r="O13" s="766">
        <f>IF(假设及结论!$C$30="YES",IF(O5&lt;=ConstructPeriod+3,0,IF(O5&lt;=ConstructPeriod+6,O12*假设及结论!$B$30*0.5,O12*假设及结论!$B$30)),O12*IF(O5&gt;10,假设及结论!$B$30,0))</f>
        <v>2161.21163860854</v>
      </c>
      <c r="P13" s="766">
        <f>IF(假设及结论!$C$30="YES",IF(P5&lt;=ConstructPeriod+3,0,IF(P5&lt;=ConstructPeriod+6,P12*假设及结论!$B$30*0.5,P12*假设及结论!$B$30)),P12*IF(P5&gt;10,假设及结论!$B$30,0))</f>
        <v>2190.02879689822</v>
      </c>
      <c r="Q13" s="766">
        <f>IF(假设及结论!$C$30="YES",IF(Q5&lt;=ConstructPeriod+3,0,IF(Q5&lt;=ConstructPeriod+6,Q12*假设及结论!$B$30*0.5,Q12*假设及结论!$B$30)),Q12*IF(Q5&gt;10,假设及结论!$B$30,0))</f>
        <v>2218.8457451412</v>
      </c>
      <c r="R13" s="766">
        <f>IF(假设及结论!$C$30="YES",IF(R5&lt;=ConstructPeriod+3,0,IF(R5&lt;=ConstructPeriod+6,R12*假设及结论!$B$30*0.5,R12*假设及结论!$B$30)),R12*IF(R5&gt;10,假设及结论!$B$30,0))</f>
        <v>2247.66248312742</v>
      </c>
      <c r="S13" s="766">
        <f>IF(假设及结论!$C$30="YES",IF(S5&lt;=ConstructPeriod+3,0,IF(S5&lt;=ConstructPeriod+6,S12*假设及结论!$B$30*0.5,S12*假设及结论!$B$30)),S12*IF(S5&gt;10,假设及结论!$B$30,0))</f>
        <v>2276.47901064662</v>
      </c>
      <c r="T13" s="766">
        <f>IF(假设及结论!$C$30="YES",IF(T5&lt;=ConstructPeriod+3,0,IF(T5&lt;=ConstructPeriod+6,T12*假设及结论!$B$30*0.5,T12*假设及结论!$B$30)),T12*IF(T5&gt;10,假设及结论!$B$30,0))</f>
        <v>2278.65059177389</v>
      </c>
      <c r="U13" s="766">
        <f>IF(假设及结论!$C$30="YES",IF(U5&lt;=ConstructPeriod+3,0,IF(U5&lt;=ConstructPeriod+6,U12*假设及结论!$B$30*0.5,U12*假设及结论!$B$30)),U12*IF(U5&gt;10,假设及结论!$B$30,0))</f>
        <v>2262.70354172717</v>
      </c>
      <c r="V13" s="766">
        <f>IF(假设及结论!$C$30="YES",IF(V5&lt;=ConstructPeriod+3,0,IF(V5&lt;=ConstructPeriod+6,V12*假设及结论!$B$30*0.5,V12*假设及结论!$B$30)),V12*IF(V5&gt;10,假设及结论!$B$30,0))</f>
        <v>2246.75628058141</v>
      </c>
      <c r="W13" s="766">
        <f>IF(假设及结论!$C$30="YES",IF(W5&lt;=ConstructPeriod+3,0,IF(W5&lt;=ConstructPeriod+6,W12*假设及结论!$B$30*0.5,W12*假设及结论!$B$30)),W12*IF(W5&gt;10,假设及结论!$B$30,0))</f>
        <v>2230.8088081255</v>
      </c>
      <c r="X13" s="766">
        <f>IF(假设及结论!$C$30="YES",IF(X5&lt;=ConstructPeriod+3,0,IF(X5&lt;=ConstructPeriod+6,X12*假设及结论!$B$30*0.5,X12*假设及结论!$B$30)),X12*IF(X5&gt;10,假设及结论!$B$30,0))</f>
        <v>2214.86112414813</v>
      </c>
      <c r="Y13" s="766">
        <f>IF(假设及结论!$C$30="YES",IF(Y5&lt;=ConstructPeriod+3,0,IF(Y5&lt;=ConstructPeriod+6,Y12*假设及结论!$B$30*0.5,Y12*假设及结论!$B$30)),Y12*IF(Y5&gt;10,假设及结论!$B$30,0))</f>
        <v>3184.7684498726</v>
      </c>
      <c r="Z13" s="766">
        <f>IF(假设及结论!$C$30="YES",IF(Z5&lt;=ConstructPeriod+3,0,IF(Z5&lt;=ConstructPeriod+6,Z12*假设及结论!$B$30*0.5,Z12*假设及结论!$B$30)),Z12*IF(Z5&gt;10,假设及结论!$B$30,0))</f>
        <v>3168.82034221755</v>
      </c>
      <c r="AA13" s="766">
        <f>IF(假设及结论!$C$30="YES",IF(AA5&lt;=ConstructPeriod+3,0,IF(AA5&lt;=ConstructPeriod+6,AA12*假设及结论!$B$30*0.5,AA12*假设及结论!$B$30)),AA12*IF(AA5&gt;10,假设及结论!$B$30,0))</f>
        <v>3152.87202240584</v>
      </c>
      <c r="AB13" s="766">
        <f>IF(假设及结论!$C$30="YES",IF(AB5&lt;=ConstructPeriod+3,0,IF(AB5&lt;=ConstructPeriod+6,AB12*假设及结论!$B$30*0.5,AB12*假设及结论!$B$30)),AB12*IF(AB5&gt;10,假设及结论!$B$30,0))</f>
        <v>3136.92349022532</v>
      </c>
      <c r="AC13" s="766">
        <f>IF(假设及结论!$C$30="YES",IF(AC5&lt;=ConstructPeriod+3,0,IF(AC5&lt;=ConstructPeriod+6,AC12*假设及结论!$B$30*0.5,AC12*假设及结论!$B$30)),AC12*IF(AC5&gt;10,假设及结论!$B$30,0))</f>
        <v>3120.97474546362</v>
      </c>
      <c r="AD13" s="766">
        <f>IF(假设及结论!$C$30="YES",IF(AD5&lt;=ConstructPeriod+3,0,IF(AD5&lt;=ConstructPeriod+6,AD12*假设及结论!$B$30*0.5,AD12*假设及结论!$B$30)),AD12*IF(AD5&gt;10,假设及结论!$B$30,0))</f>
        <v>0</v>
      </c>
    </row>
    <row r="14" s="806" customFormat="1" spans="1:33">
      <c r="A14" s="764">
        <v>9</v>
      </c>
      <c r="B14" s="826" t="s">
        <v>735</v>
      </c>
      <c r="C14" s="824">
        <f t="shared" si="0"/>
        <v>545020.960251041</v>
      </c>
      <c r="D14" s="766">
        <f t="shared" ref="D14:AD14" si="5">D10-D13</f>
        <v>0</v>
      </c>
      <c r="E14" s="766">
        <f t="shared" si="5"/>
        <v>19499.2194713201</v>
      </c>
      <c r="F14" s="766">
        <f t="shared" si="5"/>
        <v>19551.372678823</v>
      </c>
      <c r="G14" s="766">
        <f t="shared" si="5"/>
        <v>19839.5630717483</v>
      </c>
      <c r="H14" s="766">
        <f t="shared" si="5"/>
        <v>20127.7513830166</v>
      </c>
      <c r="I14" s="766">
        <f t="shared" si="5"/>
        <v>20415.9376105461</v>
      </c>
      <c r="J14" s="766">
        <f t="shared" si="5"/>
        <v>20437.6743951086</v>
      </c>
      <c r="K14" s="766">
        <f t="shared" si="5"/>
        <v>20725.8564489074</v>
      </c>
      <c r="L14" s="766">
        <f t="shared" si="5"/>
        <v>21014.0364127099</v>
      </c>
      <c r="M14" s="766">
        <f t="shared" si="5"/>
        <v>21302.2142844263</v>
      </c>
      <c r="N14" s="766">
        <f t="shared" si="5"/>
        <v>19431.3510557679</v>
      </c>
      <c r="O14" s="766">
        <f t="shared" si="5"/>
        <v>19450.9047474768</v>
      </c>
      <c r="P14" s="766">
        <f t="shared" si="5"/>
        <v>19710.259172084</v>
      </c>
      <c r="Q14" s="766">
        <f t="shared" si="5"/>
        <v>19969.6117062708</v>
      </c>
      <c r="R14" s="766">
        <f t="shared" si="5"/>
        <v>20228.9623481468</v>
      </c>
      <c r="S14" s="766">
        <f t="shared" si="5"/>
        <v>20488.3110958196</v>
      </c>
      <c r="T14" s="766">
        <f t="shared" si="5"/>
        <v>20507.855325965</v>
      </c>
      <c r="U14" s="766">
        <f t="shared" si="5"/>
        <v>20364.3318755446</v>
      </c>
      <c r="V14" s="766">
        <f t="shared" si="5"/>
        <v>20220.8065252327</v>
      </c>
      <c r="W14" s="766">
        <f t="shared" si="5"/>
        <v>20077.2792731295</v>
      </c>
      <c r="X14" s="766">
        <f t="shared" si="5"/>
        <v>19933.7501173332</v>
      </c>
      <c r="Y14" s="766">
        <f t="shared" si="5"/>
        <v>28662.9160488534</v>
      </c>
      <c r="Z14" s="766">
        <f t="shared" si="5"/>
        <v>28519.3830799579</v>
      </c>
      <c r="AA14" s="766">
        <f t="shared" si="5"/>
        <v>28375.8482016526</v>
      </c>
      <c r="AB14" s="766">
        <f t="shared" si="5"/>
        <v>28232.3114120279</v>
      </c>
      <c r="AC14" s="766">
        <f t="shared" si="5"/>
        <v>28088.7727091725</v>
      </c>
      <c r="AD14" s="766">
        <f t="shared" si="5"/>
        <v>-155.320199999998</v>
      </c>
    </row>
    <row r="15" spans="1:33">
      <c r="A15" s="42">
        <v>10</v>
      </c>
      <c r="B15" s="818" t="s">
        <v>736</v>
      </c>
      <c r="C15" s="819"/>
      <c r="D15" s="67">
        <v>0</v>
      </c>
      <c r="E15" s="67">
        <f>IF(SUM($D$14:D14)&lt;0,SUM($D$14:D14),0)</f>
        <v>0</v>
      </c>
      <c r="F15" s="67">
        <f>IF(SUM($D$14:E14)&lt;0,SUM($D$14:E14),0)</f>
        <v>0</v>
      </c>
      <c r="G15" s="67">
        <f>IF(SUM($D$14:F14)&lt;0,SUM($D$14:F14),0)</f>
        <v>0</v>
      </c>
      <c r="H15" s="67">
        <f>IF(SUM($D$14:G14)&lt;0,SUM($D$14:G14),0)</f>
        <v>0</v>
      </c>
      <c r="I15" s="67">
        <f>IF(SUM($D$14:H14)&lt;0,SUM($D$14:H14),0)</f>
        <v>0</v>
      </c>
      <c r="J15" s="67">
        <f>IF(SUM($D$14:I14)&lt;0,SUM($D$14:I14),0)</f>
        <v>0</v>
      </c>
      <c r="K15" s="67">
        <f>IF(SUM($D$14:J14)&lt;0,SUM($D$14:J14),0)</f>
        <v>0</v>
      </c>
      <c r="L15" s="67">
        <f>IF(SUM($D$14:K14)&lt;0,SUM($D$14:K14),0)</f>
        <v>0</v>
      </c>
      <c r="M15" s="67">
        <f>IF(SUM($D$14:L14)&lt;0,SUM($D$14:L14),0)</f>
        <v>0</v>
      </c>
      <c r="N15" s="67">
        <f>IF(SUM($D$14:M14)&lt;0,SUM($D$14:M14),0)</f>
        <v>0</v>
      </c>
      <c r="O15" s="67">
        <f>IF(SUM($D$14:N14)&lt;0,SUM($D$14:N14),0)</f>
        <v>0</v>
      </c>
      <c r="P15" s="67">
        <f>IF(SUM($D$14:O14)&lt;0,SUM($D$14:O14),0)</f>
        <v>0</v>
      </c>
      <c r="Q15" s="67">
        <f>IF(SUM($D$14:P14)&lt;0,SUM($D$14:P14),0)</f>
        <v>0</v>
      </c>
      <c r="R15" s="67">
        <f>IF(SUM($D$14:Q14)&lt;0,SUM($D$14:Q14),0)</f>
        <v>0</v>
      </c>
      <c r="S15" s="67">
        <f>IF(SUM($D$14:R14)&lt;0,SUM($D$14:R14),0)</f>
        <v>0</v>
      </c>
      <c r="T15" s="67">
        <f>IF(SUM($D$14:S14)&lt;0,SUM($D$14:S14),0)</f>
        <v>0</v>
      </c>
      <c r="U15" s="67">
        <f>IF(SUM($D$14:T14)&lt;0,SUM($D$14:T14),0)</f>
        <v>0</v>
      </c>
      <c r="V15" s="67">
        <f>IF(SUM($D$14:U14)&lt;0,SUM($D$14:U14),0)</f>
        <v>0</v>
      </c>
      <c r="W15" s="67">
        <f>IF(SUM($D$14:V14)&lt;0,SUM($D$14:V14),0)</f>
        <v>0</v>
      </c>
      <c r="X15" s="67">
        <f>IF(SUM($D$14:W14)&lt;0,SUM($D$14:W14),0)</f>
        <v>0</v>
      </c>
      <c r="Y15" s="67">
        <f>IF(SUM($D$14:X14)&lt;0,SUM($D$14:X14),0)</f>
        <v>0</v>
      </c>
      <c r="Z15" s="67">
        <f>IF(SUM($D$14:Y14)&lt;0,SUM($D$14:Y14),0)</f>
        <v>0</v>
      </c>
      <c r="AA15" s="67">
        <f>IF(SUM($D$14:Z14)&lt;0,SUM($D$14:Z14),0)</f>
        <v>0</v>
      </c>
      <c r="AB15" s="67">
        <f>IF(SUM($D$14:AA14)&lt;0,SUM($D$14:AA14),0)</f>
        <v>0</v>
      </c>
      <c r="AC15" s="67">
        <f>IF(SUM($D$14:AB14)&lt;0,SUM($D$14:AB14),0)</f>
        <v>0</v>
      </c>
      <c r="AD15" s="67">
        <f>IF(SUM($D$14:AC14)&lt;0,SUM($D$14:AC14),0)</f>
        <v>0</v>
      </c>
    </row>
    <row r="16" spans="1:33">
      <c r="A16" s="42">
        <v>11</v>
      </c>
      <c r="B16" s="818" t="s">
        <v>737</v>
      </c>
      <c r="C16" s="91"/>
      <c r="D16" s="67">
        <f t="shared" ref="D16:AD16" si="6">IF(C20&lt;0,0,IF(D5-ConstructPeriod&gt;OperationPeriod,0,C20))</f>
        <v>0</v>
      </c>
      <c r="E16" s="67">
        <f t="shared" si="6"/>
        <v>0</v>
      </c>
      <c r="F16" s="67">
        <f t="shared" si="6"/>
        <v>16574.3365506221</v>
      </c>
      <c r="G16" s="67">
        <f t="shared" si="6"/>
        <v>33193.0033276216</v>
      </c>
      <c r="H16" s="67">
        <f t="shared" si="6"/>
        <v>50056.6319386077</v>
      </c>
      <c r="I16" s="67">
        <f t="shared" si="6"/>
        <v>67165.2206141718</v>
      </c>
      <c r="J16" s="67">
        <f t="shared" si="6"/>
        <v>84518.767583136</v>
      </c>
      <c r="K16" s="67">
        <f t="shared" si="6"/>
        <v>101890.790818978</v>
      </c>
      <c r="L16" s="67">
        <f t="shared" si="6"/>
        <v>119507.76880055</v>
      </c>
      <c r="M16" s="67">
        <f t="shared" si="6"/>
        <v>137369.699751353</v>
      </c>
      <c r="N16" s="67">
        <f t="shared" si="6"/>
        <v>155476.581893115</v>
      </c>
      <c r="O16" s="67">
        <f t="shared" si="6"/>
        <v>171993.230290518</v>
      </c>
      <c r="P16" s="67">
        <f t="shared" si="6"/>
        <v>188526.499325873</v>
      </c>
      <c r="Q16" s="67">
        <f t="shared" si="6"/>
        <v>205280.219622145</v>
      </c>
      <c r="R16" s="67">
        <f t="shared" si="6"/>
        <v>222254.389572475</v>
      </c>
      <c r="S16" s="67">
        <f t="shared" si="6"/>
        <v>239449.0075684</v>
      </c>
      <c r="T16" s="67">
        <f t="shared" si="6"/>
        <v>256864.071999846</v>
      </c>
      <c r="U16" s="67">
        <f t="shared" si="6"/>
        <v>274295.749026917</v>
      </c>
      <c r="V16" s="67">
        <f t="shared" si="6"/>
        <v>291605.431121129</v>
      </c>
      <c r="W16" s="67">
        <f t="shared" si="6"/>
        <v>308793.116667577</v>
      </c>
      <c r="X16" s="67">
        <f t="shared" si="6"/>
        <v>325858.804049737</v>
      </c>
      <c r="Y16" s="67">
        <f t="shared" si="6"/>
        <v>342802.49164947</v>
      </c>
      <c r="Z16" s="67">
        <f t="shared" si="6"/>
        <v>370032.261895881</v>
      </c>
      <c r="AA16" s="67">
        <f t="shared" si="6"/>
        <v>397125.675821841</v>
      </c>
      <c r="AB16" s="67">
        <f t="shared" si="6"/>
        <v>424082.731613411</v>
      </c>
      <c r="AC16" s="67">
        <f t="shared" si="6"/>
        <v>450903.427454838</v>
      </c>
      <c r="AD16" s="67">
        <f t="shared" si="6"/>
        <v>0</v>
      </c>
    </row>
    <row r="17" ht="18" spans="1:30">
      <c r="A17" s="42">
        <v>12</v>
      </c>
      <c r="B17" s="827" t="s">
        <v>738</v>
      </c>
      <c r="C17" s="828"/>
      <c r="D17" s="67">
        <f>D14+D15</f>
        <v>0</v>
      </c>
      <c r="E17" s="67">
        <f>E14+E15</f>
        <v>19499.2194713201</v>
      </c>
      <c r="F17" s="67">
        <f t="shared" ref="F17:AD17" si="7">F14+F15</f>
        <v>19551.372678823</v>
      </c>
      <c r="G17" s="67">
        <f t="shared" si="7"/>
        <v>19839.5630717483</v>
      </c>
      <c r="H17" s="67">
        <f t="shared" si="7"/>
        <v>20127.7513830166</v>
      </c>
      <c r="I17" s="67">
        <f t="shared" si="7"/>
        <v>20415.9376105461</v>
      </c>
      <c r="J17" s="67">
        <f t="shared" si="7"/>
        <v>20437.6743951086</v>
      </c>
      <c r="K17" s="67">
        <f t="shared" si="7"/>
        <v>20725.8564489074</v>
      </c>
      <c r="L17" s="67">
        <f t="shared" si="7"/>
        <v>21014.0364127099</v>
      </c>
      <c r="M17" s="67">
        <f t="shared" si="7"/>
        <v>21302.2142844263</v>
      </c>
      <c r="N17" s="67">
        <f t="shared" si="7"/>
        <v>19431.3510557679</v>
      </c>
      <c r="O17" s="67">
        <f t="shared" si="7"/>
        <v>19450.9047474768</v>
      </c>
      <c r="P17" s="67">
        <f t="shared" si="7"/>
        <v>19710.259172084</v>
      </c>
      <c r="Q17" s="67">
        <f t="shared" si="7"/>
        <v>19969.6117062708</v>
      </c>
      <c r="R17" s="67">
        <f t="shared" si="7"/>
        <v>20228.9623481468</v>
      </c>
      <c r="S17" s="67">
        <f t="shared" si="7"/>
        <v>20488.3110958196</v>
      </c>
      <c r="T17" s="67">
        <f t="shared" si="7"/>
        <v>20507.855325965</v>
      </c>
      <c r="U17" s="67">
        <f t="shared" si="7"/>
        <v>20364.3318755446</v>
      </c>
      <c r="V17" s="67">
        <f t="shared" si="7"/>
        <v>20220.8065252327</v>
      </c>
      <c r="W17" s="67">
        <f t="shared" si="7"/>
        <v>20077.2792731295</v>
      </c>
      <c r="X17" s="67">
        <f t="shared" si="7"/>
        <v>19933.7501173332</v>
      </c>
      <c r="Y17" s="67">
        <f t="shared" si="7"/>
        <v>28662.9160488534</v>
      </c>
      <c r="Z17" s="67">
        <f t="shared" si="7"/>
        <v>28519.3830799579</v>
      </c>
      <c r="AA17" s="67">
        <f t="shared" si="7"/>
        <v>28375.8482016526</v>
      </c>
      <c r="AB17" s="67">
        <f t="shared" si="7"/>
        <v>28232.3114120279</v>
      </c>
      <c r="AC17" s="67">
        <f t="shared" si="7"/>
        <v>28088.7727091725</v>
      </c>
      <c r="AD17" s="67">
        <f t="shared" si="7"/>
        <v>-155.320199999998</v>
      </c>
    </row>
    <row r="18" ht="18" spans="1:30">
      <c r="A18" s="42">
        <v>13</v>
      </c>
      <c r="B18" s="829" t="str">
        <f>"提取法定盈余公积金("&amp;假设及结论!M33*100&amp;"%)"</f>
        <v>提取法定盈余公积金(10%)</v>
      </c>
      <c r="C18" s="67"/>
      <c r="D18" s="67">
        <f>IF(D17&lt;0,0,IF(SUM(D$17:$E17)/10&lt;=资金筹措!$F$12/2,D17*假设及结论!$M$33,0))</f>
        <v>0</v>
      </c>
      <c r="E18" s="67">
        <f>IF(E17&lt;0,0,IF(SUM(E$17:$E17)/10&lt;=资金筹措!$F$12/2,E17*假设及结论!$M$33,0))</f>
        <v>1949.92194713201</v>
      </c>
      <c r="F18" s="67">
        <f>IF(F17&lt;0,0,IF(SUM($E$17:F17)/10&lt;=资金筹措!$F$12/2,F17*假设及结论!$M$33,0))</f>
        <v>1955.1372678823</v>
      </c>
      <c r="G18" s="67">
        <f>IF(G17&lt;0,0,IF(SUM($E$17:G17)/10&lt;=资金筹措!$F$12/2,G17*假设及结论!$M$33,0))</f>
        <v>1983.95630717483</v>
      </c>
      <c r="H18" s="67">
        <f>IF(H17&lt;0,0,IF(SUM($E$17:H17)/10&lt;=资金筹措!$F$12/2,H17*假设及结论!$M$33,0))</f>
        <v>2012.77513830166</v>
      </c>
      <c r="I18" s="67">
        <f>IF(I17&lt;0,0,IF(SUM($E$17:I17)/10&lt;=资金筹措!$F$12/2,I17*假设及结论!$M$33,0))</f>
        <v>2041.59376105461</v>
      </c>
      <c r="J18" s="67">
        <f>IF(J17&lt;0,0,IF(SUM($E$17:J17)/10&lt;=资金筹措!$F$12/2,J17*假设及结论!$M$33,0))</f>
        <v>2043.76743951086</v>
      </c>
      <c r="K18" s="67">
        <f>IF(K17&lt;0,0,IF(SUM($E$17:K17)/10&lt;=资金筹措!$F$12/2,K17*假设及结论!$M$33,0))</f>
        <v>2072.58564489074</v>
      </c>
      <c r="L18" s="67">
        <f>IF(L17&lt;0,0,IF(SUM($E$17:L17)/10&lt;=资金筹措!$F$12/2,L17*假设及结论!$M$33,0))</f>
        <v>2101.40364127099</v>
      </c>
      <c r="M18" s="67">
        <f>IF(M17&lt;0,0,IF(SUM($E$17:M17)/10&lt;=资金筹措!$F$12/2,M17*假设及结论!$M$33,0))</f>
        <v>2130.22142844263</v>
      </c>
      <c r="N18" s="67">
        <f>IF(N17&lt;0,0,IF(SUM($E$17:N17)/10&lt;=资金筹措!$F$12/2,N17*假设及结论!$M$33,0))</f>
        <v>1943.13510557679</v>
      </c>
      <c r="O18" s="67">
        <f>IF(O17&lt;0,0,IF(SUM($E$17:O17)/10&lt;=资金筹措!$F$12/2,O17*假设及结论!$M$33,0))</f>
        <v>1945.09047474768</v>
      </c>
      <c r="P18" s="67">
        <f>IF(P17&lt;0,0,IF(SUM($E$17:P17)/10&lt;=资金筹措!$F$12/2,P17*假设及结论!$M$33,0))</f>
        <v>1971.0259172084</v>
      </c>
      <c r="Q18" s="67">
        <f>IF(Q17&lt;0,0,IF(SUM($E$17:Q17)/10&lt;=资金筹措!$F$12/2,Q17*假设及结论!$M$33,0))</f>
        <v>1996.96117062708</v>
      </c>
      <c r="R18" s="67">
        <f>IF(R17&lt;0,0,IF(SUM($E$17:R17)/10&lt;=资金筹措!$F$12/2,R17*假设及结论!$M$33,0))</f>
        <v>2022.89623481468</v>
      </c>
      <c r="S18" s="67">
        <f>IF(S17&lt;0,0,IF(SUM($E$17:S17)/10&lt;=资金筹措!$F$12/2,S17*假设及结论!$M$33,0))</f>
        <v>2048.83110958196</v>
      </c>
      <c r="T18" s="67">
        <f>IF(T17&lt;0,0,IF(SUM($E$17:T17)/10&lt;=资金筹措!$F$12/2,T17*假设及结论!$M$33,0))</f>
        <v>2050.7855325965</v>
      </c>
      <c r="U18" s="67">
        <f>IF(U17&lt;0,0,IF(SUM($E$17:U17)/10&lt;=资金筹措!$F$12/2,U17*假设及结论!$M$33,0))</f>
        <v>2036.43318755446</v>
      </c>
      <c r="V18" s="67">
        <f>IF(V17&lt;0,0,IF(SUM($E$17:V17)/10&lt;=资金筹措!$F$12/2,V17*假设及结论!$M$33,0))</f>
        <v>2022.08065252327</v>
      </c>
      <c r="W18" s="67">
        <f>IF(W17&lt;0,0,IF(SUM($E$17:W17)/10&lt;=资金筹措!$F$12/2,W17*假设及结论!$M$33,0))</f>
        <v>2007.72792731295</v>
      </c>
      <c r="X18" s="67">
        <f>IF(X17&lt;0,0,IF(SUM($E$17:X17)/10&lt;=资金筹措!$F$12/2,X17*假设及结论!$M$33,0))</f>
        <v>1993.37501173332</v>
      </c>
      <c r="Y18" s="67">
        <f>IF(Y17&lt;0,0,IF(SUM($E$17:Y17)/10&lt;=资金筹措!$F$12/2,Y17*假设及结论!$M$33,0))</f>
        <v>0</v>
      </c>
      <c r="Z18" s="67">
        <f>IF(Z17&lt;0,0,IF(SUM($E$17:Z17)/10&lt;=资金筹措!$F$12/2,Z17*假设及结论!$M$33,0))</f>
        <v>0</v>
      </c>
      <c r="AA18" s="67">
        <f>IF(AA17&lt;0,0,IF(SUM($E$17:AA17)/10&lt;=资金筹措!$F$12/2,AA17*假设及结论!$M$33,0))</f>
        <v>0</v>
      </c>
      <c r="AB18" s="67">
        <f>IF(AB17&lt;0,0,IF(SUM($E$17:AB17)/10&lt;=资金筹措!$F$12/2,AB17*假设及结论!$M$33,0))</f>
        <v>0</v>
      </c>
      <c r="AC18" s="67">
        <f>IF(AC17&lt;0,0,IF(SUM($E$17:AC17)/10&lt;=资金筹措!$F$12/2,AC17*假设及结论!$M$33,0))</f>
        <v>0</v>
      </c>
      <c r="AD18" s="67">
        <f>IF(AD17&lt;0,0,IF(SUM($E$17:AD17)/10&lt;=资金筹措!$F$12/2,AD17*假设及结论!$M$33,0))</f>
        <v>0</v>
      </c>
    </row>
    <row r="19" s="806" customFormat="1" spans="1:30">
      <c r="A19" s="764">
        <v>14</v>
      </c>
      <c r="B19" s="823" t="str">
        <f>"反税基要求/预扣税 ( "&amp;假设及结论!E30*100&amp;" %)"</f>
        <v>反税基要求/预扣税 ( 5 %)</v>
      </c>
      <c r="C19" s="824">
        <f>SUM(D19:AD19)</f>
        <v>27251.0480125521</v>
      </c>
      <c r="D19" s="825"/>
      <c r="E19" s="766">
        <f>E14*假设及结论!$E$30</f>
        <v>974.960973566006</v>
      </c>
      <c r="F19" s="766">
        <f>F14*假设及结论!$E$30</f>
        <v>977.568633941148</v>
      </c>
      <c r="G19" s="766">
        <f>G14*假设及结论!$E$30</f>
        <v>991.978153587415</v>
      </c>
      <c r="H19" s="766">
        <f>H14*假设及结论!$E$30</f>
        <v>1006.38756915083</v>
      </c>
      <c r="I19" s="766">
        <f>I14*假设及结论!$E$30</f>
        <v>1020.7968805273</v>
      </c>
      <c r="J19" s="766">
        <f>J14*假设及结论!$E$30</f>
        <v>1021.88371975543</v>
      </c>
      <c r="K19" s="766">
        <f>K14*假设及结论!$E$30</f>
        <v>1036.29282244537</v>
      </c>
      <c r="L19" s="766">
        <f>L14*假设及结论!$E$30</f>
        <v>1050.7018206355</v>
      </c>
      <c r="M19" s="766">
        <f>M14*假设及结论!$E$30</f>
        <v>1065.11071422131</v>
      </c>
      <c r="N19" s="766">
        <f>N14*假设及结论!$E$30</f>
        <v>971.567552788395</v>
      </c>
      <c r="O19" s="766">
        <f>O14*假设及结论!$E$30</f>
        <v>972.545237373842</v>
      </c>
      <c r="P19" s="766">
        <f>P14*假设及结论!$E$30</f>
        <v>985.512958604201</v>
      </c>
      <c r="Q19" s="766">
        <f>Q14*假设及结论!$E$30</f>
        <v>998.48058531354</v>
      </c>
      <c r="R19" s="766">
        <f>R14*假设及结论!$E$30</f>
        <v>1011.44811740734</v>
      </c>
      <c r="S19" s="766">
        <f>S14*假设及结论!$E$30</f>
        <v>1024.41555479098</v>
      </c>
      <c r="T19" s="766">
        <f>T14*假设及结论!$E$30</f>
        <v>1025.39276629825</v>
      </c>
      <c r="U19" s="766">
        <f>U14*假设及结论!$E$30</f>
        <v>1018.21659377723</v>
      </c>
      <c r="V19" s="766">
        <f>V14*假设及结论!$E$30</f>
        <v>1011.04032626163</v>
      </c>
      <c r="W19" s="766">
        <f>W14*假设及结论!$E$30</f>
        <v>1003.86396365647</v>
      </c>
      <c r="X19" s="766">
        <f>X14*假设及结论!$E$30</f>
        <v>996.687505866658</v>
      </c>
      <c r="Y19" s="766">
        <f>Y14*假设及结论!$E$30</f>
        <v>1433.14580244267</v>
      </c>
      <c r="Z19" s="766">
        <f>Z14*假设及结论!$E$30</f>
        <v>1425.9691539979</v>
      </c>
      <c r="AA19" s="766">
        <f>AA14*假设及结论!$E$30</f>
        <v>1418.79241008263</v>
      </c>
      <c r="AB19" s="766">
        <f>AB14*假设及结论!$E$30</f>
        <v>1411.61557060139</v>
      </c>
      <c r="AC19" s="766">
        <f>AC14*假设及结论!$E$30</f>
        <v>1404.43863545863</v>
      </c>
      <c r="AD19" s="766">
        <f>AD14*假设及结论!$E$30</f>
        <v>-7.76600999999992</v>
      </c>
    </row>
    <row r="20" ht="36" spans="1:30">
      <c r="A20" s="42">
        <v>15</v>
      </c>
      <c r="B20" s="829" t="s">
        <v>739</v>
      </c>
      <c r="C20" s="828"/>
      <c r="D20" s="67">
        <f>IF(D5-ConstructPeriod&gt;OperationPeriod,0,D16+D17-D18)</f>
        <v>0</v>
      </c>
      <c r="E20" s="67">
        <f>IF(E5-ConstructPeriod&gt;OperationPeriod,0,E16+E17-E18-E19)</f>
        <v>16574.3365506221</v>
      </c>
      <c r="F20" s="67">
        <f>IF(F5-ConstructPeriod&gt;OperationPeriod,0,F16+F17-F18-F19)</f>
        <v>33193.0033276216</v>
      </c>
      <c r="G20" s="67">
        <f>IF(G5-ConstructPeriod&gt;OperationPeriod,0,G16+G17-G18-G19)</f>
        <v>50056.6319386077</v>
      </c>
      <c r="H20" s="67">
        <f>IF(H5-ConstructPeriod&gt;OperationPeriod,0,H16+H17-H18-H19)</f>
        <v>67165.2206141718</v>
      </c>
      <c r="I20" s="67">
        <f>IF(I5-ConstructPeriod&gt;OperationPeriod,0,I16+I17-I18-I19)</f>
        <v>84518.767583136</v>
      </c>
      <c r="J20" s="67">
        <f>IF(J5-ConstructPeriod&gt;OperationPeriod,0,J16+J17-J18-J19)</f>
        <v>101890.790818978</v>
      </c>
      <c r="K20" s="67">
        <f>IF(K5-ConstructPeriod&gt;OperationPeriod,0,K16+K17-K18-K19)</f>
        <v>119507.76880055</v>
      </c>
      <c r="L20" s="67">
        <f>IF(L5-ConstructPeriod&gt;OperationPeriod,0,L16+L17-L18-L19)</f>
        <v>137369.699751353</v>
      </c>
      <c r="M20" s="67">
        <f>IF(M5-ConstructPeriod&gt;OperationPeriod,0,M16+M17-M18-M19)</f>
        <v>155476.581893115</v>
      </c>
      <c r="N20" s="67">
        <f>IF(N5-ConstructPeriod&gt;OperationPeriod,0,N16+N17-N18-N19)</f>
        <v>171993.230290518</v>
      </c>
      <c r="O20" s="67">
        <f>IF(O5-ConstructPeriod&gt;OperationPeriod,0,O16+O17-O18-O19)</f>
        <v>188526.499325873</v>
      </c>
      <c r="P20" s="67">
        <f>IF(P5-ConstructPeriod&gt;OperationPeriod,0,P16+P17-P18-P19)</f>
        <v>205280.219622145</v>
      </c>
      <c r="Q20" s="67">
        <f>IF(Q5-ConstructPeriod&gt;OperationPeriod,0,Q16+Q17-Q18-Q19)</f>
        <v>222254.389572475</v>
      </c>
      <c r="R20" s="67">
        <f>IF(R5-ConstructPeriod&gt;OperationPeriod,0,R16+R17-R18-R19)</f>
        <v>239449.0075684</v>
      </c>
      <c r="S20" s="67">
        <f>IF(S5-ConstructPeriod&gt;OperationPeriod,0,S16+S17-S18-S19)</f>
        <v>256864.071999846</v>
      </c>
      <c r="T20" s="67">
        <f>IF(T5-ConstructPeriod&gt;OperationPeriod,0,T16+T17-T18-T19)</f>
        <v>274295.749026917</v>
      </c>
      <c r="U20" s="67">
        <f>IF(U5-ConstructPeriod&gt;OperationPeriod,0,U16+U17-U18-U19)</f>
        <v>291605.431121129</v>
      </c>
      <c r="V20" s="67">
        <f>IF(V5-ConstructPeriod&gt;OperationPeriod,0,V16+V17-V18-V19)</f>
        <v>308793.116667577</v>
      </c>
      <c r="W20" s="67">
        <f>IF(W5-ConstructPeriod&gt;OperationPeriod,0,W16+W17-W18-W19)</f>
        <v>325858.804049737</v>
      </c>
      <c r="X20" s="67">
        <f>IF(X5-ConstructPeriod&gt;OperationPeriod,0,X16+X17-X18-X19)</f>
        <v>342802.49164947</v>
      </c>
      <c r="Y20" s="67">
        <f>IF(Y5-ConstructPeriod&gt;OperationPeriod,0,Y16+Y17-Y18-Y19)</f>
        <v>370032.261895881</v>
      </c>
      <c r="Z20" s="67">
        <f>IF(Z5-ConstructPeriod&gt;OperationPeriod,0,Z16+Z17-Z18-Z19)</f>
        <v>397125.675821841</v>
      </c>
      <c r="AA20" s="67">
        <f>IF(AA5-ConstructPeriod&gt;OperationPeriod,0,AA16+AA17-AA18-AA19)</f>
        <v>424082.731613411</v>
      </c>
      <c r="AB20" s="67">
        <f>IF(AB5-ConstructPeriod&gt;OperationPeriod,0,AB16+AB17-AB18-AB19)</f>
        <v>450903.427454838</v>
      </c>
      <c r="AC20" s="67">
        <f>IF(AC5-ConstructPeriod&gt;OperationPeriod,0,AC16+AC17-AC18-AC19)</f>
        <v>477587.761528551</v>
      </c>
      <c r="AD20" s="67">
        <f>IF(AD5-ConstructPeriod&gt;OperationPeriod,0,AD16+AD17-AD18-AD19)</f>
        <v>0</v>
      </c>
    </row>
    <row r="21" ht="18" spans="1:30">
      <c r="A21" s="42">
        <v>16</v>
      </c>
      <c r="B21" s="827" t="s">
        <v>740</v>
      </c>
      <c r="C21" s="828"/>
      <c r="D21" s="45"/>
      <c r="E21" s="67"/>
      <c r="F21" s="67"/>
      <c r="G21" s="67"/>
      <c r="H21" s="67"/>
      <c r="I21" s="67"/>
      <c r="J21" s="67"/>
      <c r="K21" s="67"/>
      <c r="L21" s="67"/>
      <c r="M21" s="67"/>
      <c r="N21" s="67"/>
      <c r="O21" s="67"/>
      <c r="P21" s="67"/>
      <c r="Q21" s="67"/>
      <c r="R21" s="67"/>
      <c r="S21" s="67"/>
      <c r="T21" s="67"/>
      <c r="U21" s="67"/>
      <c r="V21" s="67"/>
      <c r="W21" s="67"/>
      <c r="X21" s="67"/>
      <c r="Y21" s="67"/>
      <c r="Z21" s="67"/>
      <c r="AA21" s="67"/>
      <c r="AB21" s="67"/>
      <c r="AC21" s="67"/>
      <c r="AD21" s="67"/>
    </row>
    <row r="22" ht="18" spans="1:30">
      <c r="A22" s="42">
        <v>17</v>
      </c>
      <c r="B22" s="827" t="s">
        <v>741</v>
      </c>
      <c r="C22" s="828"/>
      <c r="D22" s="45"/>
      <c r="E22" s="67"/>
      <c r="F22" s="67"/>
      <c r="G22" s="67"/>
      <c r="H22" s="67"/>
      <c r="I22" s="67"/>
      <c r="J22" s="67"/>
      <c r="K22" s="67"/>
      <c r="L22" s="67"/>
      <c r="M22" s="67"/>
      <c r="N22" s="67"/>
      <c r="O22" s="67"/>
      <c r="P22" s="67"/>
      <c r="Q22" s="67"/>
      <c r="R22" s="67"/>
      <c r="S22" s="67"/>
      <c r="T22" s="67"/>
      <c r="U22" s="67"/>
      <c r="V22" s="67"/>
      <c r="W22" s="67"/>
      <c r="X22" s="67"/>
      <c r="Y22" s="67"/>
      <c r="Z22" s="67"/>
      <c r="AA22" s="67"/>
      <c r="AB22" s="67"/>
      <c r="AC22" s="67"/>
      <c r="AD22" s="67"/>
    </row>
    <row r="23" ht="18" spans="1:30">
      <c r="A23" s="42">
        <v>18</v>
      </c>
      <c r="B23" s="829" t="s">
        <v>742</v>
      </c>
      <c r="C23" s="828"/>
      <c r="D23" s="67">
        <f t="shared" ref="D23:AD23" si="8">D20-D21-D22</f>
        <v>0</v>
      </c>
      <c r="E23" s="67">
        <f t="shared" si="8"/>
        <v>16574.3365506221</v>
      </c>
      <c r="F23" s="67">
        <f t="shared" si="8"/>
        <v>33193.0033276216</v>
      </c>
      <c r="G23" s="67">
        <f t="shared" si="8"/>
        <v>50056.6319386077</v>
      </c>
      <c r="H23" s="67">
        <f t="shared" si="8"/>
        <v>67165.2206141718</v>
      </c>
      <c r="I23" s="67">
        <f t="shared" si="8"/>
        <v>84518.767583136</v>
      </c>
      <c r="J23" s="67">
        <f t="shared" si="8"/>
        <v>101890.790818978</v>
      </c>
      <c r="K23" s="67">
        <f t="shared" si="8"/>
        <v>119507.76880055</v>
      </c>
      <c r="L23" s="67">
        <f t="shared" si="8"/>
        <v>137369.699751353</v>
      </c>
      <c r="M23" s="67">
        <f t="shared" si="8"/>
        <v>155476.581893115</v>
      </c>
      <c r="N23" s="67">
        <f t="shared" si="8"/>
        <v>171993.230290518</v>
      </c>
      <c r="O23" s="67">
        <f t="shared" si="8"/>
        <v>188526.499325873</v>
      </c>
      <c r="P23" s="67">
        <f t="shared" si="8"/>
        <v>205280.219622145</v>
      </c>
      <c r="Q23" s="67">
        <f t="shared" si="8"/>
        <v>222254.389572475</v>
      </c>
      <c r="R23" s="67">
        <f t="shared" si="8"/>
        <v>239449.0075684</v>
      </c>
      <c r="S23" s="67">
        <f t="shared" si="8"/>
        <v>256864.071999846</v>
      </c>
      <c r="T23" s="67">
        <f t="shared" si="8"/>
        <v>274295.749026917</v>
      </c>
      <c r="U23" s="67">
        <f t="shared" si="8"/>
        <v>291605.431121129</v>
      </c>
      <c r="V23" s="67">
        <f t="shared" si="8"/>
        <v>308793.116667577</v>
      </c>
      <c r="W23" s="67">
        <f t="shared" si="8"/>
        <v>325858.804049737</v>
      </c>
      <c r="X23" s="67">
        <f t="shared" si="8"/>
        <v>342802.49164947</v>
      </c>
      <c r="Y23" s="67">
        <f t="shared" si="8"/>
        <v>370032.261895881</v>
      </c>
      <c r="Z23" s="67">
        <f t="shared" si="8"/>
        <v>397125.675821841</v>
      </c>
      <c r="AA23" s="67">
        <f t="shared" si="8"/>
        <v>424082.731613411</v>
      </c>
      <c r="AB23" s="67">
        <f t="shared" si="8"/>
        <v>450903.427454838</v>
      </c>
      <c r="AC23" s="67">
        <f t="shared" si="8"/>
        <v>477587.761528551</v>
      </c>
      <c r="AD23" s="67">
        <f t="shared" si="8"/>
        <v>0</v>
      </c>
    </row>
    <row r="24" ht="18" spans="1:30">
      <c r="A24" s="42">
        <v>19</v>
      </c>
      <c r="B24" s="827" t="s">
        <v>743</v>
      </c>
      <c r="C24" s="828"/>
      <c r="D24" s="67"/>
      <c r="E24" s="67"/>
      <c r="F24" s="67"/>
      <c r="G24" s="67"/>
      <c r="H24" s="67"/>
      <c r="I24" s="67"/>
      <c r="J24" s="67"/>
      <c r="K24" s="67"/>
      <c r="L24" s="67"/>
      <c r="M24" s="67"/>
      <c r="N24" s="67"/>
      <c r="O24" s="67"/>
      <c r="P24" s="67"/>
      <c r="Q24" s="67"/>
      <c r="R24" s="67"/>
      <c r="S24" s="67"/>
      <c r="T24" s="67"/>
      <c r="U24" s="67"/>
      <c r="V24" s="67"/>
      <c r="W24" s="67"/>
      <c r="X24" s="67"/>
      <c r="Y24" s="67"/>
      <c r="Z24" s="67"/>
      <c r="AA24" s="67"/>
      <c r="AB24" s="67"/>
      <c r="AC24" s="67"/>
      <c r="AD24" s="67"/>
    </row>
    <row r="25" ht="18" spans="1:30">
      <c r="A25" s="42">
        <v>20</v>
      </c>
      <c r="B25" s="829" t="s">
        <v>744</v>
      </c>
      <c r="C25" s="830">
        <f>MAX(D25:AD25)</f>
        <v>477587.761528551</v>
      </c>
      <c r="D25" s="67">
        <f>D23-D24</f>
        <v>0</v>
      </c>
      <c r="E25" s="67">
        <f>E23-E24</f>
        <v>16574.3365506221</v>
      </c>
      <c r="F25" s="67">
        <f>F23-F24</f>
        <v>33193.0033276216</v>
      </c>
      <c r="G25" s="67">
        <f t="shared" ref="G25:N25" si="9">G23-G24</f>
        <v>50056.6319386077</v>
      </c>
      <c r="H25" s="67">
        <f t="shared" si="9"/>
        <v>67165.2206141718</v>
      </c>
      <c r="I25" s="67">
        <f t="shared" si="9"/>
        <v>84518.767583136</v>
      </c>
      <c r="J25" s="67">
        <f t="shared" si="9"/>
        <v>101890.790818978</v>
      </c>
      <c r="K25" s="67">
        <f t="shared" si="9"/>
        <v>119507.76880055</v>
      </c>
      <c r="L25" s="67">
        <f t="shared" si="9"/>
        <v>137369.699751353</v>
      </c>
      <c r="M25" s="67">
        <f t="shared" si="9"/>
        <v>155476.581893115</v>
      </c>
      <c r="N25" s="67">
        <f t="shared" si="9"/>
        <v>171993.230290518</v>
      </c>
      <c r="O25" s="67">
        <f t="shared" ref="O25:X25" si="10">O23-O24</f>
        <v>188526.499325873</v>
      </c>
      <c r="P25" s="67">
        <f t="shared" si="10"/>
        <v>205280.219622145</v>
      </c>
      <c r="Q25" s="67">
        <f t="shared" si="10"/>
        <v>222254.389572475</v>
      </c>
      <c r="R25" s="67">
        <f t="shared" si="10"/>
        <v>239449.0075684</v>
      </c>
      <c r="S25" s="67">
        <f t="shared" si="10"/>
        <v>256864.071999846</v>
      </c>
      <c r="T25" s="67">
        <f t="shared" si="10"/>
        <v>274295.749026917</v>
      </c>
      <c r="U25" s="67">
        <f t="shared" si="10"/>
        <v>291605.431121129</v>
      </c>
      <c r="V25" s="67">
        <f t="shared" si="10"/>
        <v>308793.116667577</v>
      </c>
      <c r="W25" s="67">
        <f t="shared" si="10"/>
        <v>325858.804049737</v>
      </c>
      <c r="X25" s="67">
        <f t="shared" si="10"/>
        <v>342802.49164947</v>
      </c>
      <c r="Y25" s="67">
        <f t="shared" ref="Y25:AD25" si="11">Y23-Y24</f>
        <v>370032.261895881</v>
      </c>
      <c r="Z25" s="67">
        <f t="shared" si="11"/>
        <v>397125.675821841</v>
      </c>
      <c r="AA25" s="67">
        <f t="shared" si="11"/>
        <v>424082.731613411</v>
      </c>
      <c r="AB25" s="67">
        <f t="shared" si="11"/>
        <v>450903.427454838</v>
      </c>
      <c r="AC25" s="67">
        <f t="shared" si="11"/>
        <v>477587.761528551</v>
      </c>
      <c r="AD25" s="67">
        <f t="shared" si="11"/>
        <v>0</v>
      </c>
    </row>
    <row r="26" ht="36" spans="1:30">
      <c r="A26" s="42">
        <v>21</v>
      </c>
      <c r="B26" s="827" t="s">
        <v>745</v>
      </c>
      <c r="C26" s="819">
        <f>SUM(D26:AD26)</f>
        <v>638988.153528541</v>
      </c>
      <c r="D26" s="67">
        <f>D10+总成本!D20</f>
        <v>0</v>
      </c>
      <c r="E26" s="67">
        <f>E10+总成本!E20</f>
        <v>26213.6928713627</v>
      </c>
      <c r="F26" s="67">
        <f>F10+总成本!F20</f>
        <v>25818.2145188627</v>
      </c>
      <c r="G26" s="67">
        <f>G10+总成本!G20</f>
        <v>25658.7733517852</v>
      </c>
      <c r="H26" s="67">
        <f>H10+总成本!H20</f>
        <v>25499.3301030506</v>
      </c>
      <c r="I26" s="67">
        <f>I10+总成本!I20</f>
        <v>25339.8847705773</v>
      </c>
      <c r="J26" s="67">
        <f>J10+总成本!J20</f>
        <v>24913.989995137</v>
      </c>
      <c r="K26" s="67">
        <f>K10+总成本!K20</f>
        <v>24754.5404889329</v>
      </c>
      <c r="L26" s="67">
        <f>L10+总成本!L20</f>
        <v>24595.0888927326</v>
      </c>
      <c r="M26" s="67">
        <f>M10+总成本!M20</f>
        <v>24435.6352044461</v>
      </c>
      <c r="N26" s="67">
        <f>N10+总成本!N20</f>
        <v>24276.1794219813</v>
      </c>
      <c r="O26" s="67">
        <f>O10+总成本!O20</f>
        <v>23850.2741860996</v>
      </c>
      <c r="P26" s="67">
        <f>P10+总成本!P20</f>
        <v>23690.8142089936</v>
      </c>
      <c r="Q26" s="67">
        <f>Q10+总成本!Q20</f>
        <v>23531.3521314205</v>
      </c>
      <c r="R26" s="67">
        <f>R10+总成本!R20</f>
        <v>23371.8879512799</v>
      </c>
      <c r="S26" s="67">
        <f>S10+总成本!S20</f>
        <v>23212.4216664691</v>
      </c>
      <c r="T26" s="67">
        <f>T10+总成本!T20</f>
        <v>22786.5059177389</v>
      </c>
      <c r="U26" s="67">
        <f>U10+总成本!U20</f>
        <v>22627.0354172717</v>
      </c>
      <c r="V26" s="67">
        <f>V10+总成本!V20</f>
        <v>22467.5628058141</v>
      </c>
      <c r="W26" s="67">
        <f>W10+总成本!W20</f>
        <v>22308.088081255</v>
      </c>
      <c r="X26" s="67">
        <f>X10+总成本!X20</f>
        <v>22148.6112414813</v>
      </c>
      <c r="Y26" s="67">
        <f>Y10+总成本!Y20</f>
        <v>31847.684498726</v>
      </c>
      <c r="Z26" s="67">
        <f>Z10+总成本!Z20</f>
        <v>31688.2034221755</v>
      </c>
      <c r="AA26" s="67">
        <f>AA10+总成本!AA20</f>
        <v>31528.7202240584</v>
      </c>
      <c r="AB26" s="67">
        <f>AB10+总成本!AB20</f>
        <v>31369.2349022532</v>
      </c>
      <c r="AC26" s="67">
        <f>AC10+总成本!AC20</f>
        <v>31209.7474546362</v>
      </c>
      <c r="AD26" s="67">
        <f>AD10+总成本!AD20</f>
        <v>-155.3202</v>
      </c>
    </row>
    <row r="27" ht="36" spans="1:30">
      <c r="A27" s="42">
        <v>22</v>
      </c>
      <c r="B27" s="827" t="s">
        <v>746</v>
      </c>
      <c r="C27" s="819">
        <f>SUM(D27:AD27)</f>
        <v>841488.144958396</v>
      </c>
      <c r="D27" s="67">
        <f>D26+总成本!D18+总成本!D19</f>
        <v>0</v>
      </c>
      <c r="E27" s="67">
        <f>E26+总成本!E18+总成本!E19</f>
        <v>36338.6924428555</v>
      </c>
      <c r="F27" s="67">
        <f>F26+总成本!F18+总成本!F19</f>
        <v>35943.2140903555</v>
      </c>
      <c r="G27" s="67">
        <f>G26+总成本!G18+总成本!G19</f>
        <v>35783.772923278</v>
      </c>
      <c r="H27" s="67">
        <f>H26+总成本!H18+总成本!H19</f>
        <v>35624.3296745434</v>
      </c>
      <c r="I27" s="67">
        <f>I26+总成本!I18+总成本!I19</f>
        <v>35464.8843420701</v>
      </c>
      <c r="J27" s="67">
        <f>J26+总成本!J18+总成本!J19</f>
        <v>35038.9895666297</v>
      </c>
      <c r="K27" s="67">
        <f>K26+总成本!K18+总成本!K19</f>
        <v>34879.5400604257</v>
      </c>
      <c r="L27" s="67">
        <f>L26+总成本!L18+总成本!L19</f>
        <v>34720.0884642254</v>
      </c>
      <c r="M27" s="67">
        <f>M26+总成本!M18+总成本!M19</f>
        <v>34560.6347759389</v>
      </c>
      <c r="N27" s="67">
        <f>N26+总成本!N18+总成本!N19</f>
        <v>34401.1789934741</v>
      </c>
      <c r="O27" s="67">
        <f>O26+总成本!O18+总成本!O19</f>
        <v>33975.2737575923</v>
      </c>
      <c r="P27" s="67">
        <f>P26+总成本!P18+总成本!P19</f>
        <v>33815.8137804864</v>
      </c>
      <c r="Q27" s="67">
        <f>Q26+总成本!Q18+总成本!Q19</f>
        <v>33656.3517029133</v>
      </c>
      <c r="R27" s="67">
        <f>R26+总成本!R18+总成本!R19</f>
        <v>33496.8875227726</v>
      </c>
      <c r="S27" s="67">
        <f>S26+总成本!S18+总成本!S19</f>
        <v>33337.4212379618</v>
      </c>
      <c r="T27" s="67">
        <f>T26+总成本!T18+总成本!T19</f>
        <v>32911.5054892317</v>
      </c>
      <c r="U27" s="67">
        <f>U26+总成本!U18+总成本!U19</f>
        <v>32752.0349887645</v>
      </c>
      <c r="V27" s="67">
        <f>V26+总成本!V18+总成本!V19</f>
        <v>32592.5623773068</v>
      </c>
      <c r="W27" s="67">
        <f>W26+总成本!W18+总成本!W19</f>
        <v>32433.0876527477</v>
      </c>
      <c r="X27" s="67">
        <f>X26+总成本!X18+总成本!X19</f>
        <v>32273.610812974</v>
      </c>
      <c r="Y27" s="67">
        <f>Y26+总成本!Y18+总成本!Y19</f>
        <v>31847.684498726</v>
      </c>
      <c r="Z27" s="67">
        <f>Z26+总成本!Z18+总成本!Z19</f>
        <v>31688.2034221755</v>
      </c>
      <c r="AA27" s="67">
        <f>AA26+总成本!AA18+总成本!AA19</f>
        <v>31528.7202240584</v>
      </c>
      <c r="AB27" s="67">
        <f>AB26+总成本!AB18+总成本!AB19</f>
        <v>31369.2349022532</v>
      </c>
      <c r="AC27" s="67">
        <f>AC26+总成本!AC18+总成本!AC19</f>
        <v>31209.7474546362</v>
      </c>
      <c r="AD27" s="67">
        <f>AD26+总成本!AD18+总成本!AD19</f>
        <v>-155.3202</v>
      </c>
    </row>
    <row r="28" spans="1:30">
      <c r="A28" s="51"/>
      <c r="B28" s="831"/>
      <c r="C28" s="135"/>
      <c r="D28" s="832"/>
      <c r="E28" s="55"/>
      <c r="F28" s="55"/>
      <c r="G28" s="55"/>
      <c r="H28" s="55"/>
      <c r="I28" s="55"/>
      <c r="J28" s="55"/>
      <c r="K28" s="55"/>
      <c r="L28" s="55"/>
      <c r="M28" s="55"/>
      <c r="N28" s="55"/>
      <c r="O28" s="55"/>
      <c r="P28" s="55"/>
      <c r="Q28" s="55"/>
      <c r="R28" s="55"/>
      <c r="S28" s="55"/>
      <c r="T28" s="55"/>
      <c r="U28" s="55"/>
      <c r="V28" s="55"/>
      <c r="W28" s="55"/>
      <c r="X28" s="55"/>
    </row>
    <row r="29" spans="1:30">
      <c r="A29" s="51"/>
      <c r="B29" s="831"/>
      <c r="C29" s="833"/>
      <c r="D29" s="55"/>
      <c r="E29" s="55">
        <f>IF(假设及结论!C30="YES",IF(E5&lt;=ConstructPeriod+3,0,IF(E5&lt;=ConstructPeriod+6,E12*假设及结论!$B$30*0.5,E12*假设及结论!$B$30)),E12*假设及结论!$B$30)</f>
        <v>1949.92194713201</v>
      </c>
      <c r="F29" s="55"/>
      <c r="G29" s="55"/>
      <c r="H29" s="55"/>
      <c r="I29" s="55"/>
      <c r="J29" s="55"/>
      <c r="K29" s="55"/>
      <c r="L29" s="55"/>
      <c r="M29" s="55"/>
      <c r="N29" s="55"/>
      <c r="O29" s="55"/>
      <c r="P29" s="55"/>
      <c r="Q29" s="55"/>
      <c r="R29" s="55"/>
      <c r="S29" s="55"/>
      <c r="T29" s="55"/>
      <c r="U29" s="55"/>
      <c r="V29" s="55"/>
      <c r="W29" s="55"/>
      <c r="X29" s="55"/>
    </row>
    <row r="30" spans="1:30">
      <c r="A30" s="51"/>
      <c r="B30" s="831"/>
      <c r="C30" s="834" t="s">
        <v>747</v>
      </c>
      <c r="D30" s="55"/>
      <c r="E30" s="55"/>
      <c r="F30" s="55"/>
      <c r="G30" s="55"/>
      <c r="H30" s="55"/>
      <c r="I30" s="55"/>
      <c r="J30" s="55"/>
      <c r="K30" s="55"/>
      <c r="L30" s="55"/>
      <c r="M30" s="55"/>
      <c r="N30" s="55"/>
      <c r="O30" s="55"/>
      <c r="P30" s="55"/>
      <c r="Q30" s="55"/>
      <c r="R30" s="55"/>
      <c r="S30" s="55"/>
      <c r="T30" s="55"/>
      <c r="U30" s="55"/>
      <c r="V30" s="55"/>
      <c r="W30" s="55"/>
      <c r="X30" s="55"/>
    </row>
    <row r="31" spans="1:30">
      <c r="A31" s="51"/>
      <c r="B31" s="835" t="s">
        <v>748</v>
      </c>
      <c r="C31" s="55">
        <f ca="1">SUM(E31:AD31)/OperationPeriod</f>
        <v>3771.08836245387</v>
      </c>
      <c r="D31" s="55"/>
      <c r="E31" s="836">
        <f ca="1">IF(假设及结论!$F$15&gt;1,E10,E31)</f>
        <v>-969.217974681969</v>
      </c>
      <c r="F31" s="836">
        <f ca="1">IF(假设及结论!$F$15&gt;1,F10,F31)</f>
        <v>-792.933508015303</v>
      </c>
      <c r="G31" s="836">
        <f ca="1">IF(假设及结论!$F$15&gt;1,G10,G31)</f>
        <v>2628.73918358333</v>
      </c>
      <c r="H31" s="836">
        <f ca="1">IF(假设及结论!$F$15&gt;1,H10,H31)</f>
        <v>3140.54400703549</v>
      </c>
      <c r="I31" s="836">
        <f ca="1">IF(假设及结论!$F$15&gt;1,I10,I31)</f>
        <v>3639.36934214364</v>
      </c>
      <c r="J31" s="836">
        <f ca="1">IF(假设及结论!$F$15&gt;1,J10,J31)</f>
        <v>3583.97325559762</v>
      </c>
      <c r="K31" s="836">
        <f ca="1">IF(假设及结论!$F$15&gt;1,K10,K31)</f>
        <v>3758.7155988221</v>
      </c>
      <c r="L31" s="836">
        <f ca="1">IF(假设及结论!$F$15&gt;1,L10,L31)</f>
        <v>3933.12121234332</v>
      </c>
      <c r="M31" s="836">
        <f ca="1">IF(假设及结论!$F$15&gt;1,M10,M31)</f>
        <v>4107.17999427017</v>
      </c>
      <c r="N31" s="836">
        <f ca="1">IF(假设及结论!$F$15&gt;1,N10,N31)</f>
        <v>4280.88153965482</v>
      </c>
      <c r="O31" s="836">
        <f ca="1">IF(假设及结论!$F$15&gt;1,O10,O31)</f>
        <v>4300.57156352602</v>
      </c>
      <c r="P31" s="836">
        <f ca="1">IF(假设及结论!$F$15&gt;1,P10,P31)</f>
        <v>4473.5261630246</v>
      </c>
      <c r="Q31" s="836">
        <f ca="1">IF(假设及结论!$F$15&gt;1,Q10,Q31)</f>
        <v>4646.09040050814</v>
      </c>
      <c r="R31" s="836">
        <f ca="1">IF(假设及结论!$F$15&gt;1,R10,R31)</f>
        <v>4818.25256511618</v>
      </c>
      <c r="S31" s="836">
        <f ca="1">IF(假设及结论!$F$15&gt;1,S10,S31)</f>
        <v>4990.00059466247</v>
      </c>
      <c r="T31" s="836">
        <f ca="1">IF(假设及结论!$F$15&gt;1,T10,T31)</f>
        <v>5007.67849722014</v>
      </c>
      <c r="U31" s="836">
        <f ca="1">IF(假设及结论!$F$15&gt;1,U10,U31)</f>
        <v>4992.59394509913</v>
      </c>
      <c r="V31" s="836">
        <f ca="1">IF(假设及结论!$F$15&gt;1,V10,V31)</f>
        <v>4977.05685641449</v>
      </c>
      <c r="W31" s="836">
        <f ca="1">IF(假设及结论!$F$15&gt;1,W10,W31)</f>
        <v>4961.05365506931</v>
      </c>
      <c r="X31" s="836">
        <f ca="1">IF(假设及结论!$F$15&gt;1,X10,X31)</f>
        <v>4944.57035768377</v>
      </c>
      <c r="Y31" s="836">
        <f ca="1">IF(假设及结论!$F$15&gt;1,Y10,Y31)</f>
        <v>5.91171556152403e-13</v>
      </c>
      <c r="Z31" s="836">
        <f ca="1">IF(假设及结论!$F$15&gt;1,Z10,Z31)</f>
        <v>5.91171556152403e-13</v>
      </c>
      <c r="AA31" s="836">
        <f ca="1">IF(假设及结论!$F$15&gt;1,AA10,AA31)</f>
        <v>5.91171556152403e-13</v>
      </c>
      <c r="AB31" s="836">
        <f ca="1">IF(假设及结论!$F$15&gt;1,AB10,AB31)</f>
        <v>5.91171556152403e-13</v>
      </c>
      <c r="AC31" s="836">
        <f ca="1">IF(假设及结论!$F$15&gt;1,AC10,AC31)</f>
        <v>0</v>
      </c>
      <c r="AD31" s="836">
        <f ca="1">IF(假设及结论!$F$15&gt;1,AD10,AD31)</f>
        <v>5.91171556152403e-13</v>
      </c>
    </row>
    <row r="32" spans="1:30">
      <c r="A32" s="51"/>
      <c r="B32" s="835" t="s">
        <v>749</v>
      </c>
      <c r="C32" s="55">
        <f>SUM(E32:AD32)/OperationPeriod</f>
        <v>23410.894653128</v>
      </c>
      <c r="D32" s="55"/>
      <c r="E32" s="836">
        <f>IF(假设及结论!$F$15=1,E10,E32)</f>
        <v>19499.2194713201</v>
      </c>
      <c r="F32" s="836">
        <f>IF(假设及结论!$F$15=1,F10,F32)</f>
        <v>19551.372678823</v>
      </c>
      <c r="G32" s="836">
        <f>IF(假设及结论!$F$15=1,G10,G32)</f>
        <v>19839.5630717483</v>
      </c>
      <c r="H32" s="836">
        <f>IF(假设及结论!$F$15=1,H10,H32)</f>
        <v>20127.7513830166</v>
      </c>
      <c r="I32" s="836">
        <f>IF(假设及结论!$F$15=1,I10,I32)</f>
        <v>20415.9376105461</v>
      </c>
      <c r="J32" s="836">
        <f>IF(假设及结论!$F$15=1,J10,J32)</f>
        <v>20437.6743951086</v>
      </c>
      <c r="K32" s="836">
        <f>IF(假设及结论!$F$15=1,K10,K32)</f>
        <v>20725.8564489074</v>
      </c>
      <c r="L32" s="836">
        <f>IF(假设及结论!$F$15=1,L10,L32)</f>
        <v>21014.0364127099</v>
      </c>
      <c r="M32" s="836">
        <f>IF(假设及结论!$F$15=1,M10,M32)</f>
        <v>21302.2142844263</v>
      </c>
      <c r="N32" s="836">
        <f>IF(假设及结论!$F$15=1,N10,N32)</f>
        <v>21590.3900619643</v>
      </c>
      <c r="O32" s="836">
        <f>IF(假设及结论!$F$15=1,O10,O32)</f>
        <v>21612.1163860854</v>
      </c>
      <c r="P32" s="836">
        <f>IF(假设及结论!$F$15=1,P10,P32)</f>
        <v>21900.2879689822</v>
      </c>
      <c r="Q32" s="836">
        <f>IF(假设及结论!$F$15=1,Q10,Q32)</f>
        <v>22188.457451412</v>
      </c>
      <c r="R32" s="836">
        <f>IF(假设及结论!$F$15=1,R10,R32)</f>
        <v>22476.6248312742</v>
      </c>
      <c r="S32" s="836">
        <f>IF(假设及结论!$F$15=1,S10,S32)</f>
        <v>22764.7901064662</v>
      </c>
      <c r="T32" s="836">
        <f>IF(假设及结论!$F$15=1,T10,T32)</f>
        <v>22786.5059177389</v>
      </c>
      <c r="U32" s="836">
        <f>IF(假设及结论!$F$15=1,U10,U32)</f>
        <v>22627.0354172717</v>
      </c>
      <c r="V32" s="836">
        <f>IF(假设及结论!$F$15=1,V10,V32)</f>
        <v>22467.5628058141</v>
      </c>
      <c r="W32" s="836">
        <f>IF(假设及结论!$F$15=1,W10,W32)</f>
        <v>22308.088081255</v>
      </c>
      <c r="X32" s="836">
        <f>IF(假设及结论!$F$15=1,X10,X32)</f>
        <v>22148.6112414813</v>
      </c>
      <c r="Y32" s="836">
        <f>IF(假设及结论!$F$15=1,Y10,Y32)</f>
        <v>31847.684498726</v>
      </c>
      <c r="Z32" s="836">
        <f>IF(假设及结论!$F$15=1,Z10,Z32)</f>
        <v>31688.2034221755</v>
      </c>
      <c r="AA32" s="836">
        <f>IF(假设及结论!$F$15=1,AA10,AA32)</f>
        <v>31528.7202240584</v>
      </c>
      <c r="AB32" s="836">
        <f>IF(假设及结论!$F$15=1,AB10,AB32)</f>
        <v>31369.2349022532</v>
      </c>
      <c r="AC32" s="836">
        <f>IF(假设及结论!$F$15=1,AC10,AC32)</f>
        <v>31209.7474546362</v>
      </c>
      <c r="AD32" s="836">
        <f>IF(假设及结论!$F$15=1,AD10,AD32)</f>
        <v>-155.320199999998</v>
      </c>
    </row>
    <row r="33" spans="1:32">
      <c r="A33" s="51"/>
      <c r="B33" s="835" t="s">
        <v>750</v>
      </c>
      <c r="C33" s="833"/>
      <c r="D33" s="55"/>
      <c r="E33" s="836">
        <f>IF(假设及结论!$F$15=1,E13,E33)</f>
        <v>0</v>
      </c>
      <c r="F33" s="836">
        <f>IF(假设及结论!$F$15=1,F13,F33)</f>
        <v>0</v>
      </c>
      <c r="G33" s="836">
        <f>IF(假设及结论!$F$15=1,G13,G33)</f>
        <v>0</v>
      </c>
      <c r="H33" s="836">
        <f>IF(假设及结论!$F$15=1,H13,H33)</f>
        <v>0</v>
      </c>
      <c r="I33" s="836">
        <f>IF(假设及结论!$F$15=1,I13,I33)</f>
        <v>0</v>
      </c>
      <c r="J33" s="836">
        <f>IF(假设及结论!$F$15=1,J13,J33)</f>
        <v>0</v>
      </c>
      <c r="K33" s="836">
        <f>IF(假设及结论!$F$15=1,K13,K33)</f>
        <v>0</v>
      </c>
      <c r="L33" s="836">
        <f>IF(假设及结论!$F$15=1,L13,L33)</f>
        <v>0</v>
      </c>
      <c r="M33" s="836">
        <f>IF(假设及结论!$F$15=1,M13,M33)</f>
        <v>0</v>
      </c>
      <c r="N33" s="836">
        <f>IF(假设及结论!$F$15=1,N13,N33)</f>
        <v>2159.03900619643</v>
      </c>
      <c r="O33" s="836">
        <f>IF(假设及结论!$F$15=1,O13,O33)</f>
        <v>2161.21163860854</v>
      </c>
      <c r="P33" s="836">
        <f>IF(假设及结论!$F$15=1,P13,P33)</f>
        <v>2190.02879689822</v>
      </c>
      <c r="Q33" s="836">
        <f>IF(假设及结论!$F$15=1,Q13,Q33)</f>
        <v>2218.8457451412</v>
      </c>
      <c r="R33" s="836">
        <f>IF(假设及结论!$F$15=1,R13,R33)</f>
        <v>2247.66248312742</v>
      </c>
      <c r="S33" s="836">
        <f>IF(假设及结论!$F$15=1,S13,S33)</f>
        <v>2276.47901064662</v>
      </c>
      <c r="T33" s="836">
        <f>IF(假设及结论!$F$15=1,T13,T33)</f>
        <v>2278.65059177389</v>
      </c>
      <c r="U33" s="836">
        <f>IF(假设及结论!$F$15=1,U13,U33)</f>
        <v>2262.70354172717</v>
      </c>
      <c r="V33" s="836">
        <f>IF(假设及结论!$F$15=1,V13,V33)</f>
        <v>2246.75628058141</v>
      </c>
      <c r="W33" s="836">
        <f>IF(假设及结论!$F$15=1,W13,W33)</f>
        <v>2230.8088081255</v>
      </c>
      <c r="X33" s="836">
        <f>IF(假设及结论!$F$15=1,X13,X33)</f>
        <v>2214.86112414813</v>
      </c>
      <c r="Y33" s="836">
        <f>IF(假设及结论!$F$15=1,Y13,Y33)</f>
        <v>3184.7684498726</v>
      </c>
      <c r="Z33" s="836">
        <f>IF(假设及结论!$F$15=1,Z13,Z33)</f>
        <v>3168.82034221755</v>
      </c>
      <c r="AA33" s="836">
        <f>IF(假设及结论!$F$15=1,AA13,AA33)</f>
        <v>3152.87202240584</v>
      </c>
      <c r="AB33" s="836">
        <f>IF(假设及结论!$F$15=1,AB13,AB33)</f>
        <v>3136.92349022532</v>
      </c>
      <c r="AC33" s="836">
        <f>IF(假设及结论!$F$15=1,AC13,AC33)</f>
        <v>3120.97474546362</v>
      </c>
      <c r="AD33" s="836">
        <f>IF(假设及结论!$F$15=1,AD13,AD33)</f>
        <v>0</v>
      </c>
    </row>
    <row r="34" spans="1:32">
      <c r="A34" s="51"/>
      <c r="B34" s="835" t="s">
        <v>751</v>
      </c>
      <c r="C34" s="833"/>
      <c r="D34" s="55"/>
      <c r="E34" s="836">
        <f>还本付息!E29</f>
        <v>6714.47340004257</v>
      </c>
      <c r="F34" s="836">
        <f>还本付息!F29</f>
        <v>6266.84184003973</v>
      </c>
      <c r="G34" s="836">
        <f>还本付息!G29</f>
        <v>5819.21028003689</v>
      </c>
      <c r="H34" s="836">
        <f>还本付息!H29</f>
        <v>5371.57872003405</v>
      </c>
      <c r="I34" s="836">
        <f>还本付息!I29</f>
        <v>4923.94716003121</v>
      </c>
      <c r="J34" s="836">
        <f>还本付息!J29</f>
        <v>4476.31560002838</v>
      </c>
      <c r="K34" s="836">
        <f>还本付息!K29</f>
        <v>4028.68404002554</v>
      </c>
      <c r="L34" s="836">
        <f>还本付息!L29</f>
        <v>3581.0524800227</v>
      </c>
      <c r="M34" s="836">
        <f>还本付息!M29</f>
        <v>3133.42092001986</v>
      </c>
      <c r="N34" s="836">
        <f>还本付息!N29</f>
        <v>2685.78936001703</v>
      </c>
      <c r="O34" s="836">
        <f>还本付息!O29</f>
        <v>2238.15780001419</v>
      </c>
      <c r="P34" s="836">
        <f>还本付息!P29</f>
        <v>1790.52624001135</v>
      </c>
      <c r="Q34" s="836">
        <f>还本付息!Q29</f>
        <v>1342.89468000851</v>
      </c>
      <c r="R34" s="836">
        <f>还本付息!R29</f>
        <v>895.263120005674</v>
      </c>
      <c r="S34" s="836">
        <f>还本付息!S29</f>
        <v>447.631560002836</v>
      </c>
      <c r="T34" s="836">
        <f>还本付息!T29</f>
        <v>-1.70257408171892e-12</v>
      </c>
      <c r="U34" s="836">
        <f>还本付息!U29</f>
        <v>-1.70257408171892e-12</v>
      </c>
      <c r="V34" s="836">
        <f>还本付息!V29</f>
        <v>-1.70257408171892e-12</v>
      </c>
      <c r="W34" s="836">
        <f>还本付息!W29</f>
        <v>-1.70257408171892e-12</v>
      </c>
      <c r="X34" s="836">
        <f>还本付息!X29</f>
        <v>-1.70257408171892e-12</v>
      </c>
      <c r="Y34" s="836">
        <f>还本付息!Y29</f>
        <v>-1.70257408171892e-12</v>
      </c>
      <c r="Z34" s="836">
        <f>还本付息!Z29</f>
        <v>-1.70257408171892e-12</v>
      </c>
      <c r="AA34" s="836">
        <f>还本付息!AA29</f>
        <v>-1.70257408171892e-12</v>
      </c>
      <c r="AB34" s="836">
        <f>还本付息!AB29</f>
        <v>-1.70257408171892e-12</v>
      </c>
      <c r="AC34" s="836">
        <f>还本付息!AC29</f>
        <v>-1.70257408171892e-12</v>
      </c>
      <c r="AD34" s="836">
        <f>还本付息!AD29</f>
        <v>-1.70257408171892e-12</v>
      </c>
    </row>
    <row r="35" spans="1:32">
      <c r="A35" s="51"/>
      <c r="B35" s="835" t="s">
        <v>752</v>
      </c>
      <c r="C35" s="833"/>
      <c r="D35" s="55"/>
      <c r="E35" s="836">
        <f>还本付息!E26</f>
        <v>186513.150001182</v>
      </c>
      <c r="F35" s="836">
        <f>还本付息!F26</f>
        <v>174078.940001104</v>
      </c>
      <c r="G35" s="836">
        <f>还本付息!G26</f>
        <v>161644.730001025</v>
      </c>
      <c r="H35" s="836">
        <f>还本付息!H26</f>
        <v>149210.520000946</v>
      </c>
      <c r="I35" s="836">
        <f>还本付息!I26</f>
        <v>136776.310000867</v>
      </c>
      <c r="J35" s="836">
        <f>还本付息!J26</f>
        <v>124342.100000788</v>
      </c>
      <c r="K35" s="836">
        <f>还本付息!K26</f>
        <v>111907.890000709</v>
      </c>
      <c r="L35" s="836">
        <f>还本付息!L26</f>
        <v>99473.6800006306</v>
      </c>
      <c r="M35" s="836">
        <f>还本付息!M26</f>
        <v>87039.4700005518</v>
      </c>
      <c r="N35" s="836">
        <f>还本付息!N26</f>
        <v>74605.2600004729</v>
      </c>
      <c r="O35" s="836">
        <f>还本付息!O26</f>
        <v>62171.0500003941</v>
      </c>
      <c r="P35" s="836">
        <f>还本付息!P26</f>
        <v>49736.8400003153</v>
      </c>
      <c r="Q35" s="836">
        <f>还本付息!Q26</f>
        <v>37302.6300002364</v>
      </c>
      <c r="R35" s="836">
        <f>还本付息!R26</f>
        <v>24868.4200001576</v>
      </c>
      <c r="S35" s="836">
        <f>还本付息!S26</f>
        <v>12434.2100000788</v>
      </c>
      <c r="T35" s="836">
        <f>还本付息!T26</f>
        <v>-4.72937244921923e-11</v>
      </c>
      <c r="U35" s="836">
        <f>还本付息!U26</f>
        <v>-4.72937244921923e-11</v>
      </c>
      <c r="V35" s="836">
        <f>还本付息!V26</f>
        <v>-4.72937244921923e-11</v>
      </c>
      <c r="W35" s="836">
        <f>还本付息!W26</f>
        <v>-4.72937244921923e-11</v>
      </c>
      <c r="X35" s="836">
        <f>还本付息!X26</f>
        <v>-4.72937244921923e-11</v>
      </c>
      <c r="Y35" s="836">
        <f>还本付息!Y26</f>
        <v>-4.72937244921923e-11</v>
      </c>
      <c r="Z35" s="836">
        <f>还本付息!Z26</f>
        <v>-4.72937244921923e-11</v>
      </c>
      <c r="AA35" s="836">
        <f>还本付息!AA26</f>
        <v>-4.72937244921923e-11</v>
      </c>
      <c r="AB35" s="836">
        <f>还本付息!AB26</f>
        <v>-4.72937244921923e-11</v>
      </c>
      <c r="AC35" s="836">
        <f>还本付息!AC26</f>
        <v>-4.72937244921923e-11</v>
      </c>
      <c r="AD35" s="836">
        <f>还本付息!AD26</f>
        <v>-4.72937244921923e-11</v>
      </c>
    </row>
    <row r="36" spans="1:32">
      <c r="A36" s="51"/>
      <c r="B36" s="835" t="s">
        <v>753</v>
      </c>
      <c r="C36" s="135"/>
      <c r="D36" s="55"/>
      <c r="E36" s="836">
        <f>资本金现金流!D21</f>
        <v>16215.0480691681</v>
      </c>
      <c r="F36" s="836">
        <f>资本金现金流!E21</f>
        <v>16264.5936162957</v>
      </c>
      <c r="G36" s="836">
        <f>资本金现金流!F21</f>
        <v>16538.3744895748</v>
      </c>
      <c r="H36" s="836">
        <f>资本金现金流!G21</f>
        <v>16812.1533852797</v>
      </c>
      <c r="I36" s="836">
        <f>资本金现金流!H21</f>
        <v>17085.9303014327</v>
      </c>
      <c r="J36" s="836">
        <f>资本金现金流!I21</f>
        <v>17106.5802467671</v>
      </c>
      <c r="K36" s="836">
        <f>资本金现金流!J21</f>
        <v>17380.3531978759</v>
      </c>
      <c r="L36" s="836">
        <f>资本金现金流!K21</f>
        <v>17654.1241634883</v>
      </c>
      <c r="M36" s="836">
        <f>资本金现金流!L21</f>
        <v>17927.8931416189</v>
      </c>
      <c r="N36" s="836">
        <f>资本金现金流!M21</f>
        <v>16150.5730743934</v>
      </c>
      <c r="O36" s="836">
        <f>资本金现金流!N21</f>
        <v>16169.1490815169</v>
      </c>
      <c r="P36" s="836">
        <f>资本金现金流!O21</f>
        <v>16415.5357848937</v>
      </c>
      <c r="Q36" s="836">
        <f>资本金现金流!P21</f>
        <v>16661.9206923712</v>
      </c>
      <c r="R36" s="836">
        <f>资本金现金流!Q21</f>
        <v>16908.3038021534</v>
      </c>
      <c r="S36" s="836">
        <f>资本金现金流!R21</f>
        <v>17154.6851124426</v>
      </c>
      <c r="T36" s="836">
        <f>资本金现金流!S21</f>
        <v>29607.4621311595</v>
      </c>
      <c r="U36" s="836">
        <f>资本金现金流!T21</f>
        <v>29471.1148532601</v>
      </c>
      <c r="V36" s="836">
        <f>资本金现金流!U21</f>
        <v>29334.7657704638</v>
      </c>
      <c r="W36" s="836">
        <f>资本金现金流!V21</f>
        <v>29198.4148809657</v>
      </c>
      <c r="X36" s="836">
        <f>资本金现金流!W21</f>
        <v>29062.0621829593</v>
      </c>
      <c r="Y36" s="836">
        <f>资本金现金流!X21</f>
        <v>27229.7702464108</v>
      </c>
      <c r="Z36" s="836">
        <f>资本金现金流!Y21</f>
        <v>27093.41392596</v>
      </c>
      <c r="AA36" s="836">
        <f>资本金现金流!Z21</f>
        <v>26957.0557915699</v>
      </c>
      <c r="AB36" s="836">
        <f>资本金现金流!AA21</f>
        <v>26820.6958414265</v>
      </c>
      <c r="AC36" s="836">
        <f>资本金现金流!AB21</f>
        <v>26684.3340737139</v>
      </c>
      <c r="AD36" s="836">
        <f>资本金现金流!AC21</f>
        <v>-147.554189999998</v>
      </c>
    </row>
    <row r="37" s="807" customFormat="1" ht="18" spans="1:32">
      <c r="A37" s="836"/>
      <c r="B37" s="837" t="s">
        <v>754</v>
      </c>
      <c r="C37" s="55">
        <f>SUM(E37:AD37)/OperationPeriod</f>
        <v>15781.9096329449</v>
      </c>
      <c r="D37" s="836"/>
      <c r="E37" s="836">
        <f>IF(AND(E5&gt;ConstructPeriod,E5&lt;=OperationPeriod+1),E32+E34-E33-(资金筹措!$C$12+E35-E36)*WACC,0)</f>
        <v>9032.96277696812</v>
      </c>
      <c r="F37" s="836">
        <f>IF(AND(F5&gt;ConstructPeriod,F5&lt;=OperationPeriod+1),F32+F34-F33-(资金筹措!$C$12+F35-F36)*WACC,0)</f>
        <v>9489.50074056497</v>
      </c>
      <c r="G37" s="836">
        <f>IF(AND(G5&gt;ConstructPeriod,G5&lt;=OperationPeriod+1),G32+G34-G33-(资金筹措!$C$12+G35-G36)*WACC,0)</f>
        <v>10197.3799505941</v>
      </c>
      <c r="H37" s="836">
        <f>IF(AND(H5&gt;ConstructPeriod,H5&lt;=OperationPeriod+1),H32+H34-H33-(资金筹措!$C$12+H35-H36)*WACC,0)</f>
        <v>10905.2569439968</v>
      </c>
      <c r="I37" s="836">
        <f>IF(AND(I5&gt;ConstructPeriod,I5&lt;=OperationPeriod+1),I32+I34-I33-(资金筹措!$C$12+I35-I36)*WACC,0)</f>
        <v>11613.1317185563</v>
      </c>
      <c r="J37" s="836">
        <f>IF(AND(J5&gt;ConstructPeriod,J5&lt;=OperationPeriod+1),J32+J34-J33-(资金筹措!$C$12+J35-J36)*WACC,0)</f>
        <v>12037.2811343904</v>
      </c>
      <c r="K37" s="836">
        <f>IF(AND(K5&gt;ConstructPeriod,K5&lt;=OperationPeriod+1),K32+K34-K33-(资金筹措!$C$12+K35-K36)*WACC,0)</f>
        <v>12745.1514646049</v>
      </c>
      <c r="L37" s="836">
        <f>IF(AND(L5&gt;ConstructPeriod,L5&lt;=OperationPeriod+1),L32+L34-L33-(资金筹措!$C$12+L35-L36)*WACC,0)</f>
        <v>13453.0195693131</v>
      </c>
      <c r="M37" s="836">
        <f>IF(AND(M5&gt;ConstructPeriod,M5&lt;=OperationPeriod+1),M32+M34-M33-(资金筹措!$C$12+M35-M36)*WACC,0)</f>
        <v>14160.8854462894</v>
      </c>
      <c r="N37" s="836">
        <f>IF(AND(N5&gt;ConstructPeriod,N5&lt;=OperationPeriod+1),N32+N34-N33-(资金筹措!$C$12+N35-N36)*WACC,0)</f>
        <v>12569.7233955454</v>
      </c>
      <c r="O37" s="836">
        <f>IF(AND(O5&gt;ConstructPeriod,O5&lt;=OperationPeriod+1),O32+O34-O33-(资金筹措!$C$12+O35-O36)*WACC,0)</f>
        <v>12991.5481722431</v>
      </c>
      <c r="P37" s="836">
        <f>IF(AND(P5&gt;ConstructPeriod,P5&lt;=OperationPeriod+1),P32+P34-P33-(资金筹措!$C$12+P35-P36)*WACC,0)</f>
        <v>13668.7217618583</v>
      </c>
      <c r="Q37" s="836">
        <f>IF(AND(Q5&gt;ConstructPeriod,Q5&lt;=OperationPeriod+1),Q32+Q34-Q33-(资金筹措!$C$12+Q35-Q36)*WACC,0)</f>
        <v>14345.8933384829</v>
      </c>
      <c r="R37" s="836">
        <f>IF(AND(R5&gt;ConstructPeriod,R5&lt;=OperationPeriod+1),R32+R34-R33-(资金筹措!$C$12+R35-R36)*WACC,0)</f>
        <v>15023.0629001041</v>
      </c>
      <c r="S37" s="836">
        <f>IF(AND(S5&gt;ConstructPeriod,S5&lt;=OperationPeriod+1),S32+S34-S33-(资金筹措!$C$12+S35-S36)*WACC,0)</f>
        <v>15700.2304447067</v>
      </c>
      <c r="T37" s="836">
        <f>IF(AND(T5&gt;ConstructPeriod,T5&lt;=OperationPeriod+1),T32+T34-T33-(资金筹措!$C$12+T35-T36)*WACC,0)</f>
        <v>16970.6799788821</v>
      </c>
      <c r="U37" s="836">
        <f>IF(AND(U5&gt;ConstructPeriod,U5&lt;=OperationPeriod+1),U32+U34-U33-(资金筹措!$C$12+U35-U36)*WACC,0)</f>
        <v>16817.850826745</v>
      </c>
      <c r="V37" s="836">
        <f>IF(AND(V5&gt;ConstructPeriod,V5&lt;=OperationPeriod+1),V32+V34-V33-(资金筹措!$C$12+V35-V36)*WACC,0)</f>
        <v>16665.0196515322</v>
      </c>
      <c r="W37" s="836">
        <f>IF(AND(W5&gt;ConstructPeriod,W5&lt;=OperationPeriod+1),W32+W34-W33-(资金筹措!$C$12+W35-W36)*WACC,0)</f>
        <v>16512.1864512208</v>
      </c>
      <c r="X37" s="836">
        <f>IF(AND(X5&gt;ConstructPeriod,X5&lt;=OperationPeriod+1),X32+X34-X33-(资金筹措!$C$12+X35-X36)*WACC,0)</f>
        <v>16359.3512237855</v>
      </c>
      <c r="Y37" s="836">
        <f>IF(AND(Y5&gt;ConstructPeriod,Y5&lt;=OperationPeriod+1),Y32+Y34-Y33-(资金筹措!$C$12+Y35-Y36)*WACC,0)</f>
        <v>24963.4632306364</v>
      </c>
      <c r="Z37" s="836">
        <f>IF(AND(Z5&gt;ConstructPeriod,Z5&lt;=OperationPeriod+1),Z32+Z34-Z33-(资金筹措!$C$12+Z35-Z36)*WACC,0)</f>
        <v>24810.6239428701</v>
      </c>
      <c r="AA37" s="836">
        <f>IF(AND(AA5&gt;ConstructPeriod,AA5&lt;=OperationPeriod+1),AA32+AA34-AA33-(资金筹措!$C$12+AA35-AA36)*WACC,0)</f>
        <v>24657.7826218926</v>
      </c>
      <c r="AB37" s="836">
        <f>IF(AND(AB5&gt;ConstructPeriod,AB5&lt;=OperationPeriod+1),AB32+AB34-AB33-(资金筹措!$C$12+AB35-AB36)*WACC,0)</f>
        <v>24504.9392656706</v>
      </c>
      <c r="AC37" s="836">
        <f>IF(AND(AC5&gt;ConstructPeriod,AC5&lt;=OperationPeriod+1),AC32+AC34-AC33-(资金筹措!$C$12+AC35-AC36)*WACC,0)</f>
        <v>24352.0938721689</v>
      </c>
      <c r="AD37" s="836">
        <f>IF(AND(AD5&gt;ConstructPeriod,AD5&lt;=OperationPeriod+1),AD32+AD34-AD33-(资金筹措!$C$12+AD35-AD36)*WACC,0)</f>
        <v>0</v>
      </c>
      <c r="AE37" s="69"/>
      <c r="AF37" s="69"/>
    </row>
    <row r="38" spans="1:32">
      <c r="A38" s="51"/>
      <c r="B38" s="838"/>
      <c r="C38" t="s">
        <v>755</v>
      </c>
      <c r="D38" s="55"/>
      <c r="E38" s="55"/>
      <c r="F38" s="55"/>
      <c r="G38" s="55"/>
      <c r="H38" s="55"/>
      <c r="I38" s="55"/>
      <c r="J38" s="55"/>
      <c r="K38" s="55"/>
      <c r="L38" s="55"/>
      <c r="M38" s="55"/>
      <c r="N38" t="s">
        <v>756</v>
      </c>
      <c r="O38" s="55"/>
      <c r="P38" s="55"/>
      <c r="Q38" s="55"/>
      <c r="R38" s="55"/>
      <c r="S38" s="55"/>
      <c r="T38" s="55"/>
      <c r="U38" s="55"/>
      <c r="V38" s="55"/>
      <c r="W38" s="55"/>
      <c r="X38" s="55"/>
    </row>
    <row r="39" spans="1:32">
      <c r="A39" s="51"/>
      <c r="B39" s="839"/>
      <c r="C39" s="51"/>
      <c r="D39" s="55"/>
      <c r="E39" s="55"/>
      <c r="F39" s="55"/>
      <c r="G39" s="55"/>
      <c r="H39" s="55"/>
      <c r="I39" s="55"/>
      <c r="J39" s="55"/>
      <c r="K39" s="55"/>
      <c r="L39" s="55"/>
      <c r="M39" s="55"/>
      <c r="N39" t="s">
        <v>757</v>
      </c>
      <c r="O39" s="55"/>
      <c r="P39" s="55"/>
      <c r="Q39" s="55"/>
      <c r="R39" s="55"/>
      <c r="S39" s="55"/>
      <c r="T39" s="55"/>
      <c r="U39" s="55"/>
      <c r="V39" s="55"/>
      <c r="W39" s="55"/>
      <c r="X39" s="55"/>
    </row>
    <row r="40" spans="1:32">
      <c r="A40" s="51"/>
      <c r="B40" s="840" t="s">
        <v>758</v>
      </c>
      <c r="C40" s="841">
        <v>0.08</v>
      </c>
      <c r="D40" s="841">
        <v>0.09</v>
      </c>
      <c r="E40" s="841">
        <v>0.1</v>
      </c>
      <c r="F40" s="841">
        <v>0.11</v>
      </c>
      <c r="G40" s="841">
        <v>0.12</v>
      </c>
      <c r="H40" s="841">
        <v>0.13</v>
      </c>
      <c r="I40" s="55"/>
      <c r="J40" s="55"/>
      <c r="K40" s="55"/>
      <c r="L40" s="55"/>
      <c r="M40" s="55"/>
      <c r="N40" s="55"/>
      <c r="O40" s="55"/>
      <c r="P40" s="55"/>
      <c r="Q40" s="55"/>
      <c r="R40" s="55"/>
      <c r="S40" s="55"/>
      <c r="T40" s="55"/>
      <c r="U40" s="55"/>
      <c r="V40" s="55"/>
      <c r="W40" s="55"/>
      <c r="X40" s="55"/>
    </row>
    <row r="41" spans="1:32">
      <c r="A41" s="51"/>
      <c r="B41" s="840" t="s">
        <v>759</v>
      </c>
      <c r="C41" s="842">
        <f t="shared" ref="C41:H41" si="12">NPV(C40,$E$17:$AD$17)</f>
        <v>221880.743616465</v>
      </c>
      <c r="D41" s="842">
        <f t="shared" si="12"/>
        <v>203330.517921307</v>
      </c>
      <c r="E41" s="842">
        <f t="shared" si="12"/>
        <v>187196.014639322</v>
      </c>
      <c r="F41" s="842">
        <f t="shared" si="12"/>
        <v>173092.638798971</v>
      </c>
      <c r="G41" s="842">
        <f t="shared" si="12"/>
        <v>160704.704504702</v>
      </c>
      <c r="H41" s="842">
        <f t="shared" si="12"/>
        <v>149772.051108809</v>
      </c>
      <c r="I41" s="55"/>
      <c r="J41" s="55"/>
      <c r="K41" s="55"/>
      <c r="L41" s="55"/>
      <c r="M41" s="55"/>
      <c r="N41" s="55"/>
      <c r="O41" s="55"/>
      <c r="P41" s="55"/>
      <c r="Q41" s="55"/>
      <c r="R41" s="55"/>
      <c r="S41" s="55"/>
      <c r="T41" s="55"/>
      <c r="U41" s="55"/>
      <c r="V41" s="55"/>
      <c r="W41" s="55"/>
      <c r="X41" s="55"/>
    </row>
    <row r="42" spans="1:32">
      <c r="A42" s="51"/>
      <c r="B42" s="839"/>
      <c r="C42" s="51"/>
      <c r="D42" s="55"/>
      <c r="E42" s="55"/>
      <c r="F42" s="55"/>
      <c r="G42" s="55"/>
      <c r="H42" s="55"/>
      <c r="I42" s="55"/>
      <c r="J42" s="55"/>
      <c r="K42" s="55"/>
      <c r="L42" s="55"/>
      <c r="M42" s="55"/>
      <c r="N42" s="55"/>
      <c r="O42" s="55"/>
      <c r="P42" s="55"/>
      <c r="Q42" s="55"/>
      <c r="R42" s="55"/>
      <c r="S42" s="55"/>
      <c r="T42" s="55"/>
      <c r="U42" s="55"/>
      <c r="V42" s="55"/>
      <c r="W42" s="55"/>
      <c r="X42" s="55"/>
    </row>
    <row r="43" spans="1:32">
      <c r="A43" s="51"/>
      <c r="B43" s="839"/>
      <c r="C43" s="51"/>
      <c r="D43" s="55"/>
      <c r="E43" s="55"/>
      <c r="F43" s="55"/>
      <c r="G43" s="55"/>
      <c r="H43" s="55"/>
      <c r="I43" s="55"/>
      <c r="J43" s="55"/>
      <c r="K43" s="55"/>
      <c r="L43" s="55"/>
      <c r="M43" s="55"/>
      <c r="N43" s="55"/>
      <c r="O43" s="55"/>
      <c r="P43" s="55"/>
      <c r="Q43" s="55"/>
      <c r="R43" s="55"/>
      <c r="S43" s="55"/>
      <c r="T43" s="55"/>
      <c r="U43" s="55"/>
      <c r="V43" s="55"/>
      <c r="W43" s="55"/>
      <c r="X43" s="55"/>
    </row>
    <row r="44" spans="1:32">
      <c r="A44" s="51"/>
      <c r="B44" s="839"/>
      <c r="C44" s="51"/>
      <c r="D44" s="55"/>
      <c r="E44" s="55"/>
      <c r="F44" s="55"/>
      <c r="G44" s="55"/>
      <c r="H44" s="55"/>
      <c r="I44" s="55"/>
      <c r="J44" s="55"/>
      <c r="K44" s="55"/>
      <c r="L44" s="55"/>
      <c r="M44" s="55"/>
      <c r="N44" s="55"/>
      <c r="O44" s="55"/>
      <c r="P44" s="55"/>
      <c r="Q44" s="55"/>
      <c r="R44" s="55"/>
      <c r="S44" s="55"/>
      <c r="T44" s="55"/>
      <c r="U44" s="55"/>
      <c r="V44" s="55"/>
      <c r="W44" s="55"/>
      <c r="X44" s="55"/>
    </row>
    <row r="45" spans="1:32">
      <c r="A45" s="51"/>
      <c r="B45" s="839"/>
      <c r="C45" s="51"/>
      <c r="D45" s="55"/>
      <c r="E45" s="55"/>
      <c r="F45" s="55"/>
      <c r="G45" s="55"/>
      <c r="H45" s="55"/>
      <c r="I45" s="55"/>
      <c r="J45" s="55"/>
      <c r="K45" s="55"/>
      <c r="L45" s="55"/>
      <c r="M45" s="55"/>
      <c r="N45" s="55"/>
      <c r="O45" s="55"/>
      <c r="P45" s="55"/>
      <c r="Q45" s="55"/>
      <c r="R45" s="55"/>
      <c r="S45" s="55"/>
      <c r="T45" s="55"/>
      <c r="U45" s="55"/>
      <c r="V45" s="55"/>
      <c r="W45" s="55"/>
      <c r="X45" s="55"/>
    </row>
    <row r="46" spans="1:32">
      <c r="A46" s="51"/>
      <c r="B46" s="839"/>
      <c r="C46" s="51"/>
      <c r="D46" s="55"/>
      <c r="E46" s="55"/>
      <c r="F46" s="55"/>
      <c r="G46" s="55"/>
      <c r="H46" s="55"/>
      <c r="I46" s="55"/>
      <c r="J46" s="55"/>
      <c r="K46" s="55"/>
      <c r="L46" s="55"/>
      <c r="M46" s="55"/>
      <c r="N46" s="55"/>
      <c r="O46" s="55"/>
      <c r="P46" s="55"/>
      <c r="Q46" s="55"/>
      <c r="R46" s="55"/>
      <c r="S46" s="55"/>
      <c r="T46" s="55"/>
      <c r="U46" s="55"/>
      <c r="V46" s="55"/>
      <c r="W46" s="55"/>
      <c r="X46" s="55"/>
    </row>
    <row r="47" spans="1:32">
      <c r="A47" s="51"/>
      <c r="B47" s="839"/>
      <c r="C47" s="51"/>
      <c r="D47" s="55"/>
      <c r="E47" s="55"/>
      <c r="F47" s="55"/>
      <c r="G47" s="55"/>
      <c r="H47" s="55"/>
      <c r="I47" s="55"/>
      <c r="J47" s="55"/>
      <c r="K47" s="55"/>
      <c r="L47" s="55"/>
      <c r="M47" s="55"/>
      <c r="N47" s="55"/>
      <c r="O47" s="55"/>
      <c r="P47" s="55"/>
      <c r="Q47" s="55"/>
      <c r="R47" s="55"/>
      <c r="S47" s="55"/>
      <c r="T47" s="55"/>
      <c r="U47" s="55"/>
      <c r="V47" s="55"/>
      <c r="W47" s="55"/>
      <c r="X47" s="55"/>
    </row>
    <row r="48" spans="1:32">
      <c r="A48" s="51"/>
      <c r="B48" s="839"/>
      <c r="C48" s="51"/>
      <c r="D48" s="55"/>
      <c r="E48" s="55"/>
      <c r="F48" s="55"/>
      <c r="G48" s="55"/>
      <c r="H48" s="55"/>
      <c r="I48" s="55"/>
      <c r="J48" s="55"/>
      <c r="K48" s="55"/>
      <c r="L48" s="55"/>
      <c r="M48" s="55"/>
      <c r="N48" s="55"/>
      <c r="O48" s="55"/>
      <c r="P48" s="55"/>
      <c r="Q48" s="55"/>
      <c r="R48" s="55"/>
      <c r="S48" s="55"/>
      <c r="T48" s="55"/>
      <c r="U48" s="55"/>
      <c r="V48" s="55"/>
      <c r="W48" s="55"/>
      <c r="X48" s="55"/>
    </row>
    <row r="49" spans="1:24">
      <c r="A49" s="51"/>
      <c r="B49" s="839"/>
      <c r="C49" s="51"/>
      <c r="D49" s="55"/>
      <c r="E49" s="55"/>
      <c r="F49" s="55"/>
      <c r="G49" s="55"/>
      <c r="H49" s="55"/>
      <c r="I49" s="55"/>
      <c r="J49" s="55"/>
      <c r="K49" s="55"/>
      <c r="L49" s="55"/>
      <c r="M49" s="55"/>
      <c r="N49" s="55"/>
      <c r="O49" s="55"/>
      <c r="P49" s="55"/>
      <c r="Q49" s="55"/>
      <c r="R49" s="55"/>
      <c r="S49" s="55"/>
      <c r="T49" s="55"/>
      <c r="U49" s="55"/>
      <c r="V49" s="55"/>
      <c r="W49" s="55"/>
      <c r="X49" s="55"/>
    </row>
    <row r="50" spans="1:24">
      <c r="A50" s="51"/>
      <c r="B50" s="839"/>
      <c r="C50" s="51"/>
      <c r="D50" s="55"/>
      <c r="E50" s="55"/>
      <c r="F50" s="55"/>
      <c r="G50" s="55"/>
      <c r="H50" s="55"/>
      <c r="I50" s="55"/>
      <c r="J50" s="55"/>
      <c r="K50" s="55"/>
      <c r="L50" s="55"/>
      <c r="M50" s="55"/>
      <c r="N50" s="55"/>
      <c r="O50" s="55"/>
      <c r="P50" s="55"/>
      <c r="Q50" s="55"/>
      <c r="R50" s="55"/>
      <c r="S50" s="55"/>
      <c r="T50" s="55"/>
      <c r="U50" s="55"/>
      <c r="V50" s="55"/>
      <c r="W50" s="55"/>
      <c r="X50" s="55"/>
    </row>
    <row r="51" spans="1:24">
      <c r="A51" s="51"/>
      <c r="B51" s="839"/>
      <c r="C51" s="51"/>
      <c r="D51" s="55"/>
      <c r="E51" s="55"/>
      <c r="F51" s="55"/>
      <c r="G51" s="55"/>
      <c r="H51" s="55"/>
      <c r="I51" s="55"/>
      <c r="J51" s="55"/>
      <c r="K51" s="55"/>
      <c r="L51" s="55"/>
      <c r="M51" s="55"/>
      <c r="N51" s="55"/>
      <c r="O51" s="55"/>
      <c r="P51" s="55"/>
      <c r="Q51" s="55"/>
      <c r="R51" s="55"/>
      <c r="S51" s="55"/>
      <c r="T51" s="55"/>
      <c r="U51" s="55"/>
      <c r="V51" s="55"/>
      <c r="W51" s="55"/>
      <c r="X51" s="55"/>
    </row>
    <row r="52" spans="1:24">
      <c r="A52" s="51"/>
      <c r="B52" s="839"/>
      <c r="C52" s="51"/>
      <c r="D52" s="55"/>
      <c r="E52" s="55"/>
      <c r="F52" s="55"/>
      <c r="G52" s="55"/>
      <c r="H52" s="55"/>
      <c r="I52" s="55"/>
      <c r="J52" s="55"/>
      <c r="K52" s="55"/>
      <c r="L52" s="55"/>
      <c r="M52" s="55"/>
      <c r="N52" s="55"/>
      <c r="O52" s="55"/>
      <c r="P52" s="55"/>
      <c r="Q52" s="55"/>
      <c r="R52" s="55"/>
      <c r="S52" s="55"/>
      <c r="T52" s="55"/>
      <c r="U52" s="55"/>
      <c r="V52" s="55"/>
      <c r="W52" s="55"/>
      <c r="X52" s="55"/>
    </row>
    <row r="53" spans="1:24">
      <c r="A53" s="51"/>
      <c r="B53" s="839"/>
      <c r="C53" s="51"/>
      <c r="D53" s="55"/>
      <c r="E53" s="55"/>
      <c r="F53" s="55"/>
      <c r="G53" s="55"/>
      <c r="H53" s="55"/>
      <c r="I53" s="55"/>
      <c r="J53" s="55"/>
      <c r="K53" s="55"/>
      <c r="L53" s="55"/>
      <c r="M53" s="55"/>
      <c r="N53" s="55"/>
      <c r="O53" s="55"/>
      <c r="P53" s="55"/>
      <c r="Q53" s="55"/>
      <c r="R53" s="55"/>
      <c r="S53" s="55"/>
      <c r="T53" s="55"/>
      <c r="U53" s="55"/>
      <c r="V53" s="55"/>
      <c r="W53" s="55"/>
      <c r="X53" s="55"/>
    </row>
    <row r="54" spans="1:24">
      <c r="A54" s="51"/>
      <c r="B54" s="839"/>
      <c r="C54" s="51"/>
      <c r="D54" s="55"/>
      <c r="E54" s="55"/>
      <c r="F54" s="55"/>
      <c r="G54" s="55"/>
      <c r="H54" s="55"/>
      <c r="I54" s="55"/>
      <c r="J54" s="55"/>
      <c r="K54" s="55"/>
      <c r="L54" s="55"/>
      <c r="M54" s="55"/>
      <c r="N54" s="55"/>
      <c r="O54" s="55"/>
      <c r="P54" s="55"/>
      <c r="Q54" s="55"/>
      <c r="R54" s="55"/>
      <c r="S54" s="55"/>
      <c r="T54" s="55"/>
      <c r="U54" s="55"/>
      <c r="V54" s="55"/>
      <c r="W54" s="55"/>
      <c r="X54" s="55"/>
    </row>
    <row r="55" spans="1:24">
      <c r="A55" s="51"/>
      <c r="B55" s="839"/>
      <c r="C55" s="51"/>
      <c r="D55" s="55"/>
      <c r="E55" s="55"/>
      <c r="F55" s="55"/>
      <c r="G55" s="55"/>
      <c r="H55" s="55"/>
      <c r="I55" s="55"/>
      <c r="J55" s="55"/>
      <c r="K55" s="55"/>
      <c r="L55" s="55"/>
      <c r="M55" s="55"/>
      <c r="N55" s="55"/>
      <c r="O55" s="55"/>
      <c r="P55" s="55"/>
      <c r="Q55" s="55"/>
      <c r="R55" s="55"/>
      <c r="S55" s="55"/>
      <c r="T55" s="55"/>
      <c r="U55" s="55"/>
      <c r="V55" s="55"/>
      <c r="W55" s="55"/>
      <c r="X55" s="55"/>
    </row>
    <row r="56" spans="1:24">
      <c r="A56" s="51"/>
      <c r="B56" s="839"/>
      <c r="C56" s="51"/>
      <c r="D56" s="55"/>
      <c r="E56" s="55"/>
      <c r="F56" s="55"/>
      <c r="G56" s="55"/>
      <c r="H56" s="55"/>
      <c r="I56" s="55"/>
      <c r="J56" s="55"/>
      <c r="K56" s="55"/>
      <c r="L56" s="55"/>
      <c r="M56" s="55"/>
      <c r="N56" s="55"/>
      <c r="O56" s="55"/>
      <c r="P56" s="55"/>
      <c r="Q56" s="55"/>
      <c r="R56" s="55"/>
      <c r="S56" s="55"/>
      <c r="T56" s="55"/>
      <c r="U56" s="55"/>
      <c r="V56" s="55"/>
      <c r="W56" s="55"/>
      <c r="X56" s="55"/>
    </row>
    <row r="57" spans="1:24">
      <c r="A57" s="51"/>
      <c r="B57" s="839"/>
      <c r="C57" s="51"/>
      <c r="D57" s="55"/>
      <c r="E57" s="55"/>
      <c r="F57" s="55"/>
      <c r="G57" s="55"/>
      <c r="H57" s="55"/>
      <c r="I57" s="55"/>
      <c r="J57" s="55"/>
      <c r="K57" s="55"/>
      <c r="L57" s="55"/>
      <c r="M57" s="55"/>
      <c r="N57" s="55"/>
      <c r="O57" s="55"/>
      <c r="P57" s="55"/>
      <c r="Q57" s="55"/>
      <c r="R57" s="55"/>
      <c r="S57" s="55"/>
      <c r="T57" s="55"/>
      <c r="U57" s="55"/>
      <c r="V57" s="55"/>
      <c r="W57" s="55"/>
      <c r="X57" s="55"/>
    </row>
  </sheetData>
  <mergeCells count="4">
    <mergeCell ref="A2:X2"/>
    <mergeCell ref="D4:AD4"/>
    <mergeCell ref="B4:B5"/>
    <mergeCell ref="C4:C5"/>
  </mergeCells>
  <printOptions horizontalCentered="1"/>
  <pageMargins left="0" right="0" top="1.22013888888889" bottom="0.984027777777778" header="0.511805555555556" footer="0.511805555555556"/>
  <pageSetup paperSize="9" orientation="portrait"/>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39"/>
  <sheetViews>
    <sheetView showZeros="0" view="pageBreakPreview" zoomScale="90" zoomScaleNormal="90" topLeftCell="A10" workbookViewId="0">
      <selection activeCell="E31" sqref="E31"/>
    </sheetView>
  </sheetViews>
  <sheetFormatPr defaultColWidth="8.83035714285714" defaultRowHeight="17.6"/>
  <cols>
    <col min="1" max="1" width="6" style="25" customWidth="1"/>
    <col min="2" max="2" width="36.1160714285714" style="25" customWidth="1"/>
    <col min="3" max="4" width="8.5" style="25" customWidth="1"/>
    <col min="5" max="5" width="12.6607142857143" style="25" customWidth="1"/>
    <col min="6" max="11" width="8.83035714285714" style="25" customWidth="1"/>
    <col min="12" max="12" width="8.5" style="25" customWidth="1"/>
    <col min="13" max="13" width="8.83035714285714" style="25" customWidth="1"/>
    <col min="14" max="14" width="9.66071428571429" style="25" customWidth="1"/>
    <col min="15" max="15" width="7.66071428571429" style="25" customWidth="1"/>
    <col min="16" max="22" width="8.16071428571429" style="25" customWidth="1"/>
    <col min="23" max="23" width="8.5" style="25" customWidth="1"/>
    <col min="24" max="24" width="12.8303571428571" style="25" customWidth="1"/>
    <col min="25" max="29" width="10" style="25" customWidth="1"/>
    <col min="30" max="16384" width="8.83035714285714" style="25"/>
  </cols>
  <sheetData>
    <row r="1" ht="18" customHeight="1" spans="1:29">
      <c r="A1" s="28"/>
      <c r="B1" s="35"/>
      <c r="C1" s="35"/>
      <c r="D1" s="35"/>
      <c r="E1" s="35"/>
      <c r="F1" s="35"/>
      <c r="G1" s="35"/>
      <c r="H1" s="35"/>
      <c r="I1" s="35"/>
      <c r="J1" s="35"/>
      <c r="K1" s="35"/>
      <c r="L1" s="35"/>
      <c r="M1" s="35"/>
    </row>
    <row r="2" ht="25" customHeight="1" spans="1:29">
      <c r="A2" s="139" t="s">
        <v>760</v>
      </c>
      <c r="B2" s="139"/>
      <c r="C2" s="139"/>
      <c r="D2" s="139"/>
      <c r="E2" s="139"/>
      <c r="F2" s="139"/>
      <c r="G2" s="139"/>
      <c r="H2" s="139"/>
      <c r="I2" s="139"/>
      <c r="J2" s="139"/>
      <c r="K2" s="139"/>
      <c r="L2" s="139"/>
      <c r="M2" s="139"/>
      <c r="N2" s="139"/>
      <c r="O2" s="139"/>
      <c r="P2" s="139"/>
      <c r="Q2" s="139"/>
      <c r="R2" s="139"/>
      <c r="S2" s="139"/>
      <c r="T2" s="139"/>
      <c r="U2" s="139"/>
      <c r="V2" s="139"/>
      <c r="W2" s="139"/>
    </row>
    <row r="3" ht="18" customHeight="1" spans="1:29">
      <c r="A3" s="35"/>
      <c r="B3" s="35"/>
      <c r="C3" s="35"/>
      <c r="D3" s="35"/>
      <c r="E3" s="35"/>
      <c r="F3" s="35"/>
      <c r="G3" s="35"/>
      <c r="H3" s="35"/>
      <c r="I3" s="35"/>
      <c r="J3" s="35"/>
      <c r="K3" s="35"/>
      <c r="L3" s="35"/>
      <c r="M3" s="35"/>
      <c r="W3" s="37" t="s">
        <v>723</v>
      </c>
    </row>
    <row r="4" ht="18" customHeight="1" spans="1:29">
      <c r="A4" s="784" t="s">
        <v>724</v>
      </c>
      <c r="B4" s="785" t="s">
        <v>761</v>
      </c>
      <c r="C4" s="786" t="s">
        <v>762</v>
      </c>
      <c r="D4" s="787"/>
      <c r="E4" s="787"/>
      <c r="F4" s="787"/>
      <c r="G4" s="787"/>
      <c r="H4" s="787"/>
      <c r="I4" s="787"/>
      <c r="J4" s="787"/>
      <c r="K4" s="787"/>
      <c r="L4" s="787"/>
      <c r="M4" s="787"/>
      <c r="N4" s="787"/>
      <c r="O4" s="787"/>
      <c r="P4" s="787"/>
      <c r="Q4" s="787"/>
      <c r="R4" s="787"/>
      <c r="S4" s="787"/>
      <c r="T4" s="787"/>
      <c r="U4" s="787"/>
      <c r="V4" s="787"/>
      <c r="W4" s="787"/>
      <c r="X4" s="787"/>
      <c r="Y4" s="787"/>
      <c r="Z4" s="787"/>
      <c r="AA4" s="787"/>
      <c r="AB4" s="787"/>
      <c r="AC4" s="788"/>
    </row>
    <row r="5" ht="18" customHeight="1" spans="1:29">
      <c r="A5" s="789" t="s">
        <v>727</v>
      </c>
      <c r="B5" s="790"/>
      <c r="C5" s="43">
        <v>1</v>
      </c>
      <c r="D5" s="43">
        <v>2</v>
      </c>
      <c r="E5" s="43">
        <v>3</v>
      </c>
      <c r="F5" s="43">
        <v>4</v>
      </c>
      <c r="G5" s="43">
        <v>5</v>
      </c>
      <c r="H5" s="43">
        <v>6</v>
      </c>
      <c r="I5" s="43">
        <v>7</v>
      </c>
      <c r="J5" s="43">
        <v>8</v>
      </c>
      <c r="K5" s="43">
        <v>9</v>
      </c>
      <c r="L5" s="43">
        <v>10</v>
      </c>
      <c r="M5" s="43">
        <v>11</v>
      </c>
      <c r="N5" s="43">
        <v>12</v>
      </c>
      <c r="O5" s="43">
        <v>13</v>
      </c>
      <c r="P5" s="43">
        <v>14</v>
      </c>
      <c r="Q5" s="43">
        <v>15</v>
      </c>
      <c r="R5" s="43">
        <v>16</v>
      </c>
      <c r="S5" s="43">
        <v>17</v>
      </c>
      <c r="T5" s="43">
        <v>18</v>
      </c>
      <c r="U5" s="43">
        <v>19</v>
      </c>
      <c r="V5" s="43">
        <v>20</v>
      </c>
      <c r="W5" s="43">
        <v>21</v>
      </c>
      <c r="X5" s="25">
        <v>22</v>
      </c>
      <c r="Y5" s="25">
        <v>23</v>
      </c>
      <c r="Z5" s="25">
        <v>24</v>
      </c>
      <c r="AA5" s="25">
        <v>25</v>
      </c>
      <c r="AB5" s="25">
        <v>26</v>
      </c>
      <c r="AC5" s="25">
        <v>27</v>
      </c>
    </row>
    <row r="6" ht="20.25" customHeight="1" spans="1:29">
      <c r="A6" s="129">
        <v>1</v>
      </c>
      <c r="B6" s="791" t="s">
        <v>763</v>
      </c>
      <c r="C6" s="771">
        <f t="shared" ref="C6:V6" si="0">SUM(C7:C10)</f>
        <v>0</v>
      </c>
      <c r="D6" s="771">
        <f t="shared" si="0"/>
        <v>39737.25</v>
      </c>
      <c r="E6" s="771">
        <f t="shared" si="0"/>
        <v>39339.8775</v>
      </c>
      <c r="F6" s="771">
        <f t="shared" si="0"/>
        <v>39180.9285</v>
      </c>
      <c r="G6" s="771">
        <f t="shared" si="0"/>
        <v>39021.9795</v>
      </c>
      <c r="H6" s="771">
        <f t="shared" si="0"/>
        <v>38863.0305</v>
      </c>
      <c r="I6" s="771">
        <f t="shared" si="0"/>
        <v>38704.0815</v>
      </c>
      <c r="J6" s="771">
        <f t="shared" si="0"/>
        <v>38545.1325</v>
      </c>
      <c r="K6" s="771">
        <f t="shared" si="0"/>
        <v>38386.1835</v>
      </c>
      <c r="L6" s="771">
        <f t="shared" si="0"/>
        <v>38227.2345</v>
      </c>
      <c r="M6" s="771">
        <f t="shared" si="0"/>
        <v>38068.2855</v>
      </c>
      <c r="N6" s="771">
        <f t="shared" si="0"/>
        <v>37909.3365</v>
      </c>
      <c r="O6" s="771">
        <f t="shared" si="0"/>
        <v>37750.3875</v>
      </c>
      <c r="P6" s="771">
        <f t="shared" si="0"/>
        <v>37591.4385</v>
      </c>
      <c r="Q6" s="771">
        <f t="shared" si="0"/>
        <v>37432.4895</v>
      </c>
      <c r="R6" s="771">
        <f t="shared" si="0"/>
        <v>37273.5405</v>
      </c>
      <c r="S6" s="771">
        <f t="shared" si="0"/>
        <v>37114.5915</v>
      </c>
      <c r="T6" s="771">
        <f t="shared" si="0"/>
        <v>36955.6425</v>
      </c>
      <c r="U6" s="771">
        <f t="shared" si="0"/>
        <v>36796.6935</v>
      </c>
      <c r="V6" s="771">
        <f t="shared" si="0"/>
        <v>36637.7445</v>
      </c>
      <c r="W6" s="771">
        <f t="shared" ref="W6:AC6" si="1">SUM(W7:W10)</f>
        <v>36478.7955</v>
      </c>
      <c r="X6" s="771">
        <f t="shared" si="1"/>
        <v>36319.8465</v>
      </c>
      <c r="Y6" s="771">
        <f t="shared" si="1"/>
        <v>36160.8975</v>
      </c>
      <c r="Z6" s="771">
        <f t="shared" si="1"/>
        <v>36001.9485</v>
      </c>
      <c r="AA6" s="771">
        <f t="shared" si="1"/>
        <v>35842.9995</v>
      </c>
      <c r="AB6" s="771">
        <f t="shared" si="1"/>
        <v>35684.0505</v>
      </c>
      <c r="AC6" s="771">
        <f t="shared" si="1"/>
        <v>0</v>
      </c>
    </row>
    <row r="7" ht="20.25" customHeight="1" spans="1:29">
      <c r="A7" s="42">
        <v>1.1</v>
      </c>
      <c r="B7" s="792" t="s">
        <v>764</v>
      </c>
      <c r="C7" s="40">
        <f>损益表!D6</f>
        <v>0</v>
      </c>
      <c r="D7" s="40">
        <f>销售收入!E6</f>
        <v>39737.25</v>
      </c>
      <c r="E7" s="40">
        <f>销售收入!F6</f>
        <v>39339.8775</v>
      </c>
      <c r="F7" s="40">
        <f>销售收入!G6</f>
        <v>39180.9285</v>
      </c>
      <c r="G7" s="40">
        <f>销售收入!H6</f>
        <v>39021.9795</v>
      </c>
      <c r="H7" s="40">
        <f>销售收入!I6</f>
        <v>38863.0305</v>
      </c>
      <c r="I7" s="40">
        <f>销售收入!J6</f>
        <v>38704.0815</v>
      </c>
      <c r="J7" s="40">
        <f>销售收入!K6</f>
        <v>38545.1325</v>
      </c>
      <c r="K7" s="40">
        <f>销售收入!L6</f>
        <v>38386.1835</v>
      </c>
      <c r="L7" s="40">
        <f>销售收入!M6</f>
        <v>38227.2345</v>
      </c>
      <c r="M7" s="40">
        <f>销售收入!N6</f>
        <v>38068.2855</v>
      </c>
      <c r="N7" s="40">
        <f>销售收入!O6</f>
        <v>37909.3365</v>
      </c>
      <c r="O7" s="40">
        <f>销售收入!P6</f>
        <v>37750.3875</v>
      </c>
      <c r="P7" s="40">
        <f>销售收入!Q6</f>
        <v>37591.4385</v>
      </c>
      <c r="Q7" s="40">
        <f>销售收入!R6</f>
        <v>37432.4895</v>
      </c>
      <c r="R7" s="40">
        <f>销售收入!S6</f>
        <v>37273.5405</v>
      </c>
      <c r="S7" s="40">
        <f>销售收入!T6</f>
        <v>37114.5915</v>
      </c>
      <c r="T7" s="40">
        <f>销售收入!U6</f>
        <v>36955.6425</v>
      </c>
      <c r="U7" s="40">
        <f>销售收入!V6</f>
        <v>36796.6935</v>
      </c>
      <c r="V7" s="40">
        <f>销售收入!W6</f>
        <v>36637.7445</v>
      </c>
      <c r="W7" s="40">
        <f>销售收入!X6</f>
        <v>36478.7955</v>
      </c>
      <c r="X7" s="40">
        <f>销售收入!Y6</f>
        <v>36319.8465</v>
      </c>
      <c r="Y7" s="40">
        <f>销售收入!Z6</f>
        <v>36160.8975</v>
      </c>
      <c r="Z7" s="40">
        <f>销售收入!AA6</f>
        <v>36001.9485</v>
      </c>
      <c r="AA7" s="40">
        <f>销售收入!AB6</f>
        <v>35842.9995</v>
      </c>
      <c r="AB7" s="40">
        <f>销售收入!AC6</f>
        <v>35684.0505</v>
      </c>
      <c r="AC7" s="40">
        <f>销售收入!AD6</f>
        <v>0</v>
      </c>
    </row>
    <row r="8" ht="20.25" customHeight="1" spans="1:29">
      <c r="A8" s="42">
        <v>1.2</v>
      </c>
      <c r="B8" s="112" t="s">
        <v>765</v>
      </c>
      <c r="C8" s="40">
        <f>资本金现金流!C8</f>
        <v>0</v>
      </c>
      <c r="D8" s="40">
        <f>销售收入!E40</f>
        <v>0</v>
      </c>
      <c r="E8" s="40">
        <f>销售收入!F40</f>
        <v>0</v>
      </c>
      <c r="F8" s="40">
        <f>销售收入!G40</f>
        <v>0</v>
      </c>
      <c r="G8" s="40">
        <f>销售收入!H40</f>
        <v>0</v>
      </c>
      <c r="H8" s="40">
        <f>销售收入!I40</f>
        <v>0</v>
      </c>
      <c r="I8" s="40">
        <f>销售收入!J40</f>
        <v>0</v>
      </c>
      <c r="J8" s="40">
        <f>销售收入!K40</f>
        <v>0</v>
      </c>
      <c r="K8" s="40">
        <f>销售收入!L40</f>
        <v>0</v>
      </c>
      <c r="L8" s="40">
        <f>销售收入!M40</f>
        <v>0</v>
      </c>
      <c r="M8" s="40">
        <f>销售收入!N40</f>
        <v>0</v>
      </c>
      <c r="N8" s="40">
        <f>销售收入!O40</f>
        <v>0</v>
      </c>
      <c r="O8" s="40">
        <f>销售收入!P40</f>
        <v>0</v>
      </c>
      <c r="P8" s="40">
        <f>销售收入!Q40</f>
        <v>0</v>
      </c>
      <c r="Q8" s="40">
        <f>销售收入!R40</f>
        <v>0</v>
      </c>
      <c r="R8" s="40">
        <f>销售收入!S40</f>
        <v>0</v>
      </c>
      <c r="S8" s="40">
        <f>销售收入!T40</f>
        <v>0</v>
      </c>
      <c r="T8" s="40">
        <f>销售收入!U40</f>
        <v>0</v>
      </c>
      <c r="U8" s="40">
        <f>销售收入!V40</f>
        <v>0</v>
      </c>
      <c r="V8" s="40">
        <f>销售收入!W40</f>
        <v>0</v>
      </c>
      <c r="W8" s="40">
        <f>销售收入!X40</f>
        <v>0</v>
      </c>
      <c r="X8" s="40">
        <f>销售收入!Y40</f>
        <v>0</v>
      </c>
      <c r="Y8" s="40">
        <f>销售收入!Z40</f>
        <v>0</v>
      </c>
      <c r="Z8" s="40">
        <f>销售收入!AA40</f>
        <v>0</v>
      </c>
      <c r="AA8" s="40">
        <f>销售收入!AB40</f>
        <v>0</v>
      </c>
      <c r="AB8" s="40">
        <f>销售收入!AC40</f>
        <v>0</v>
      </c>
      <c r="AC8" s="40">
        <f>销售收入!AD40</f>
        <v>0</v>
      </c>
    </row>
    <row r="9" ht="20.25" customHeight="1" spans="1:29">
      <c r="A9" s="42">
        <v>1.3</v>
      </c>
      <c r="B9" s="792" t="s">
        <v>766</v>
      </c>
      <c r="C9" s="40"/>
      <c r="D9" s="40"/>
      <c r="E9" s="40"/>
      <c r="F9" s="772"/>
      <c r="G9" s="40"/>
      <c r="H9" s="40"/>
      <c r="I9" s="40"/>
      <c r="J9" s="40"/>
      <c r="K9" s="40"/>
      <c r="L9" s="40"/>
      <c r="M9" s="40">
        <f>资本金现金流!M9</f>
        <v>0</v>
      </c>
      <c r="N9" s="40">
        <f>资本金现金流!N9</f>
        <v>0</v>
      </c>
      <c r="O9" s="40">
        <f>资本金现金流!O9</f>
        <v>0</v>
      </c>
      <c r="P9" s="40">
        <f>资本金现金流!P9</f>
        <v>0</v>
      </c>
      <c r="Q9" s="40">
        <f>资本金现金流!Q9</f>
        <v>0</v>
      </c>
      <c r="R9" s="40"/>
      <c r="S9" s="40">
        <f>资本金现金流!S9</f>
        <v>0</v>
      </c>
      <c r="T9" s="40"/>
      <c r="U9" s="40">
        <f>资本金现金流!U9</f>
        <v>0</v>
      </c>
      <c r="V9" s="40"/>
      <c r="W9" s="40"/>
      <c r="X9" s="40"/>
      <c r="Y9" s="40"/>
      <c r="Z9" s="40"/>
      <c r="AA9" s="40"/>
      <c r="AB9" s="40"/>
      <c r="AC9" s="40"/>
    </row>
    <row r="10" ht="20.25" customHeight="1" spans="1:29">
      <c r="A10" s="42">
        <v>1.4</v>
      </c>
      <c r="B10" s="792" t="s">
        <v>767</v>
      </c>
      <c r="C10" s="40"/>
      <c r="D10" s="40"/>
      <c r="E10" s="40"/>
      <c r="F10" s="40">
        <f>E10*3</f>
        <v>0</v>
      </c>
      <c r="G10" s="40">
        <f>F10</f>
        <v>0</v>
      </c>
      <c r="H10" s="40"/>
      <c r="I10" s="40">
        <f>H10</f>
        <v>0</v>
      </c>
      <c r="J10" s="40">
        <f>I10</f>
        <v>0</v>
      </c>
      <c r="K10" s="40">
        <f>J10</f>
        <v>0</v>
      </c>
      <c r="L10" s="40">
        <f>K10</f>
        <v>0</v>
      </c>
      <c r="M10" s="40">
        <f>L10</f>
        <v>0</v>
      </c>
      <c r="N10" s="40">
        <f t="shared" ref="N10:V10" si="2">M10</f>
        <v>0</v>
      </c>
      <c r="O10" s="40">
        <f t="shared" si="2"/>
        <v>0</v>
      </c>
      <c r="P10" s="40">
        <f t="shared" si="2"/>
        <v>0</v>
      </c>
      <c r="Q10" s="40">
        <f t="shared" si="2"/>
        <v>0</v>
      </c>
      <c r="R10" s="40">
        <f t="shared" si="2"/>
        <v>0</v>
      </c>
      <c r="S10" s="40">
        <f t="shared" si="2"/>
        <v>0</v>
      </c>
      <c r="T10" s="40">
        <f t="shared" si="2"/>
        <v>0</v>
      </c>
      <c r="U10" s="40">
        <f t="shared" si="2"/>
        <v>0</v>
      </c>
      <c r="V10" s="40">
        <f t="shared" si="2"/>
        <v>0</v>
      </c>
      <c r="W10" s="40">
        <f t="shared" ref="W10:AC10" si="3">V10</f>
        <v>0</v>
      </c>
      <c r="X10" s="40">
        <f t="shared" si="3"/>
        <v>0</v>
      </c>
      <c r="Y10" s="40">
        <f t="shared" si="3"/>
        <v>0</v>
      </c>
      <c r="Z10" s="40">
        <f t="shared" si="3"/>
        <v>0</v>
      </c>
      <c r="AA10" s="40">
        <f t="shared" si="3"/>
        <v>0</v>
      </c>
      <c r="AB10" s="40">
        <f t="shared" si="3"/>
        <v>0</v>
      </c>
      <c r="AC10" s="40">
        <f t="shared" si="3"/>
        <v>0</v>
      </c>
    </row>
    <row r="11" ht="20.25" customHeight="1" spans="1:29">
      <c r="A11" s="129">
        <v>2</v>
      </c>
      <c r="B11" s="791" t="s">
        <v>768</v>
      </c>
      <c r="C11" s="771">
        <f t="shared" ref="C11:V11" si="4">SUM(C12:C16)</f>
        <v>264631.895264217</v>
      </c>
      <c r="D11" s="771">
        <f t="shared" si="4"/>
        <v>3398.55755714455</v>
      </c>
      <c r="E11" s="771">
        <f t="shared" si="4"/>
        <v>3396.66340964455</v>
      </c>
      <c r="F11" s="771">
        <f t="shared" si="4"/>
        <v>3397.15557672205</v>
      </c>
      <c r="G11" s="771">
        <f t="shared" si="4"/>
        <v>3397.64982545662</v>
      </c>
      <c r="H11" s="771">
        <f t="shared" si="4"/>
        <v>3398.14615792993</v>
      </c>
      <c r="I11" s="771">
        <f t="shared" si="4"/>
        <v>3665.09193337027</v>
      </c>
      <c r="J11" s="771">
        <f t="shared" si="4"/>
        <v>3665.59243957435</v>
      </c>
      <c r="K11" s="771">
        <f t="shared" si="4"/>
        <v>3666.09503577463</v>
      </c>
      <c r="L11" s="771">
        <f t="shared" si="4"/>
        <v>3666.59972406112</v>
      </c>
      <c r="M11" s="771">
        <f t="shared" si="4"/>
        <v>3667.10650652589</v>
      </c>
      <c r="N11" s="771">
        <f t="shared" si="4"/>
        <v>3934.06274240767</v>
      </c>
      <c r="O11" s="771">
        <f t="shared" si="4"/>
        <v>3934.57371951365</v>
      </c>
      <c r="P11" s="771">
        <f t="shared" si="4"/>
        <v>3935.08679708673</v>
      </c>
      <c r="Q11" s="771">
        <f t="shared" si="4"/>
        <v>3935.60197722738</v>
      </c>
      <c r="R11" s="771">
        <f t="shared" si="4"/>
        <v>3936.11926203817</v>
      </c>
      <c r="S11" s="771">
        <f t="shared" si="4"/>
        <v>4203.08601076832</v>
      </c>
      <c r="T11" s="771">
        <f t="shared" si="4"/>
        <v>4203.60751123551</v>
      </c>
      <c r="U11" s="771">
        <f t="shared" si="4"/>
        <v>4204.13112269317</v>
      </c>
      <c r="V11" s="771">
        <f t="shared" si="4"/>
        <v>4204.65684725228</v>
      </c>
      <c r="W11" s="771">
        <f t="shared" ref="W11:AC11" si="5">SUM(W12:W16)</f>
        <v>4205.18468702596</v>
      </c>
      <c r="X11" s="771">
        <f t="shared" si="5"/>
        <v>4472.16200127395</v>
      </c>
      <c r="Y11" s="771">
        <f t="shared" si="5"/>
        <v>4472.6940778245</v>
      </c>
      <c r="Z11" s="771">
        <f t="shared" si="5"/>
        <v>4473.22827594161</v>
      </c>
      <c r="AA11" s="771">
        <f t="shared" si="5"/>
        <v>4473.76459774682</v>
      </c>
      <c r="AB11" s="771">
        <f t="shared" si="5"/>
        <v>4474.30304536385</v>
      </c>
      <c r="AC11" s="771">
        <f t="shared" si="5"/>
        <v>155.3202</v>
      </c>
    </row>
    <row r="12" ht="20.25" customHeight="1" spans="1:29">
      <c r="A12" s="42">
        <v>2.1</v>
      </c>
      <c r="B12" s="793" t="s">
        <v>769</v>
      </c>
      <c r="C12" s="40">
        <f>资金筹措!C7</f>
        <v>263131.895264217</v>
      </c>
      <c r="D12" s="40">
        <f>资金筹措!D7</f>
        <v>0</v>
      </c>
      <c r="E12" s="40"/>
      <c r="F12" s="40"/>
      <c r="G12" s="40"/>
      <c r="H12" s="40"/>
      <c r="I12" s="40"/>
      <c r="J12" s="40"/>
      <c r="K12" s="40"/>
      <c r="L12" s="40"/>
      <c r="M12" s="40"/>
      <c r="N12" s="40"/>
      <c r="O12" s="40"/>
      <c r="P12" s="40"/>
      <c r="Q12" s="40"/>
      <c r="R12" s="40"/>
      <c r="S12" s="40"/>
      <c r="T12" s="40"/>
      <c r="U12" s="40"/>
      <c r="V12" s="40"/>
      <c r="W12" s="40"/>
      <c r="X12" s="40"/>
      <c r="Y12" s="40"/>
      <c r="Z12" s="40"/>
      <c r="AA12" s="40"/>
      <c r="AB12" s="40"/>
      <c r="AC12" s="40"/>
    </row>
    <row r="13" ht="20.25" customHeight="1" spans="1:29">
      <c r="A13" s="42">
        <v>2.2</v>
      </c>
      <c r="B13" s="793" t="s">
        <v>217</v>
      </c>
      <c r="C13" s="40">
        <f>资金筹措!C9</f>
        <v>1500</v>
      </c>
      <c r="D13" s="40">
        <f>资金筹措!D9</f>
        <v>0</v>
      </c>
      <c r="E13" s="40">
        <f>资金筹措!E9</f>
        <v>0</v>
      </c>
      <c r="F13" s="40"/>
      <c r="G13" s="40"/>
      <c r="H13" s="40"/>
      <c r="I13" s="40"/>
      <c r="J13" s="40"/>
      <c r="K13" s="40"/>
      <c r="L13" s="40"/>
      <c r="M13" s="40"/>
      <c r="N13" s="40"/>
      <c r="O13" s="40"/>
      <c r="P13" s="40"/>
      <c r="Q13" s="40"/>
      <c r="R13" s="40"/>
      <c r="S13" s="40"/>
      <c r="T13" s="40"/>
      <c r="U13" s="40"/>
      <c r="V13" s="40"/>
      <c r="W13" s="40"/>
      <c r="X13" s="40"/>
      <c r="Y13" s="40"/>
      <c r="Z13" s="40"/>
      <c r="AA13" s="40"/>
      <c r="AB13" s="40"/>
      <c r="AC13" s="40"/>
    </row>
    <row r="14" ht="20.25" customHeight="1" spans="1:29">
      <c r="A14" s="42">
        <v>2.3</v>
      </c>
      <c r="B14" s="792" t="s">
        <v>770</v>
      </c>
      <c r="C14" s="40">
        <f>总成本!D17</f>
        <v>0</v>
      </c>
      <c r="D14" s="40">
        <f>总成本!E17</f>
        <v>3001.18505714455</v>
      </c>
      <c r="E14" s="40">
        <f>总成本!F17</f>
        <v>3003.26463464455</v>
      </c>
      <c r="F14" s="40">
        <f>总成本!G17</f>
        <v>3005.34629172205</v>
      </c>
      <c r="G14" s="40">
        <f>总成本!H17</f>
        <v>3007.43003045662</v>
      </c>
      <c r="H14" s="40">
        <f>总成本!I17</f>
        <v>3009.51585292993</v>
      </c>
      <c r="I14" s="40">
        <f>总成本!J17</f>
        <v>3278.05111837027</v>
      </c>
      <c r="J14" s="40">
        <f>总成本!K17</f>
        <v>3280.14111457435</v>
      </c>
      <c r="K14" s="40">
        <f>总成本!L17</f>
        <v>3282.23320077463</v>
      </c>
      <c r="L14" s="40">
        <f>总成本!M17</f>
        <v>3284.32737906112</v>
      </c>
      <c r="M14" s="40">
        <f>总成本!N17</f>
        <v>3286.42365152589</v>
      </c>
      <c r="N14" s="40">
        <f>总成本!O17</f>
        <v>3554.96937740767</v>
      </c>
      <c r="O14" s="40">
        <f>总成本!P17</f>
        <v>3557.06984451365</v>
      </c>
      <c r="P14" s="40">
        <f>总成本!Q17</f>
        <v>3559.17241208673</v>
      </c>
      <c r="Q14" s="40">
        <f>总成本!R17</f>
        <v>3561.27708222738</v>
      </c>
      <c r="R14" s="40">
        <f>总成本!S17</f>
        <v>3563.38385703817</v>
      </c>
      <c r="S14" s="40">
        <f>总成本!T17</f>
        <v>3831.94009576832</v>
      </c>
      <c r="T14" s="40">
        <f>总成本!U17</f>
        <v>3834.05108623551</v>
      </c>
      <c r="U14" s="40">
        <f>总成本!V17</f>
        <v>3836.16418769317</v>
      </c>
      <c r="V14" s="40">
        <f>总成本!W17</f>
        <v>3838.27940225229</v>
      </c>
      <c r="W14" s="40">
        <f>总成本!X17</f>
        <v>3840.39673202596</v>
      </c>
      <c r="X14" s="40">
        <f>总成本!Y17</f>
        <v>4108.96353627395</v>
      </c>
      <c r="Y14" s="40">
        <f>总成本!Z17</f>
        <v>4111.0851028245</v>
      </c>
      <c r="Z14" s="40">
        <f>总成本!AA17</f>
        <v>4113.20879094161</v>
      </c>
      <c r="AA14" s="40">
        <f>总成本!AB17</f>
        <v>4115.33460274682</v>
      </c>
      <c r="AB14" s="40">
        <f>总成本!AC17</f>
        <v>4117.46254036385</v>
      </c>
      <c r="AC14" s="40">
        <f>总成本!AD17</f>
        <v>155.3202</v>
      </c>
    </row>
    <row r="15" ht="20.25" customHeight="1" spans="1:29">
      <c r="A15" s="42">
        <v>2.4</v>
      </c>
      <c r="B15" s="792" t="s">
        <v>730</v>
      </c>
      <c r="C15" s="40">
        <f>损益表!D8</f>
        <v>0</v>
      </c>
      <c r="D15" s="40">
        <f>损益表!E8</f>
        <v>397.3725</v>
      </c>
      <c r="E15" s="40">
        <f>损益表!F8</f>
        <v>393.398775</v>
      </c>
      <c r="F15" s="40">
        <f>损益表!G8</f>
        <v>391.809285</v>
      </c>
      <c r="G15" s="40">
        <f>损益表!H8</f>
        <v>390.219795</v>
      </c>
      <c r="H15" s="40">
        <f>损益表!I8</f>
        <v>388.630305</v>
      </c>
      <c r="I15" s="40">
        <f>损益表!J8</f>
        <v>387.040815</v>
      </c>
      <c r="J15" s="40">
        <f>损益表!K8</f>
        <v>385.451325</v>
      </c>
      <c r="K15" s="40">
        <f>损益表!L8</f>
        <v>383.861835</v>
      </c>
      <c r="L15" s="40">
        <f>损益表!M8</f>
        <v>382.272345</v>
      </c>
      <c r="M15" s="40">
        <f>损益表!N8</f>
        <v>380.682855</v>
      </c>
      <c r="N15" s="40">
        <f>损益表!O8</f>
        <v>379.093365</v>
      </c>
      <c r="O15" s="40">
        <f>损益表!P8</f>
        <v>377.503875</v>
      </c>
      <c r="P15" s="40">
        <f>损益表!Q8</f>
        <v>375.914385</v>
      </c>
      <c r="Q15" s="40">
        <f>损益表!R8</f>
        <v>374.324895</v>
      </c>
      <c r="R15" s="40">
        <f>损益表!S8</f>
        <v>372.735405</v>
      </c>
      <c r="S15" s="40">
        <f>损益表!T8</f>
        <v>371.145915</v>
      </c>
      <c r="T15" s="40">
        <f>损益表!U8</f>
        <v>369.556425</v>
      </c>
      <c r="U15" s="40">
        <f>损益表!V8</f>
        <v>367.966935</v>
      </c>
      <c r="V15" s="40">
        <f>损益表!W8</f>
        <v>366.377445</v>
      </c>
      <c r="W15" s="40">
        <f>损益表!X8</f>
        <v>364.787955</v>
      </c>
      <c r="X15" s="40">
        <f>损益表!Y8</f>
        <v>363.198465</v>
      </c>
      <c r="Y15" s="40">
        <f>损益表!Z8</f>
        <v>361.608975</v>
      </c>
      <c r="Z15" s="40">
        <f>损益表!AA8</f>
        <v>360.019485</v>
      </c>
      <c r="AA15" s="40">
        <f>损益表!AB8</f>
        <v>358.429995</v>
      </c>
      <c r="AB15" s="40">
        <f>损益表!AC8</f>
        <v>356.840505</v>
      </c>
      <c r="AC15" s="40">
        <f>损益表!AD8</f>
        <v>0</v>
      </c>
    </row>
    <row r="16" ht="20.25" customHeight="1" spans="1:29">
      <c r="A16" s="42">
        <v>2.5</v>
      </c>
      <c r="B16" s="792" t="s">
        <v>771</v>
      </c>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row>
    <row r="17" ht="20.25" customHeight="1" spans="1:29">
      <c r="A17" s="129">
        <v>3</v>
      </c>
      <c r="B17" s="773" t="s">
        <v>772</v>
      </c>
      <c r="C17" s="131">
        <f t="shared" ref="C17:V17" si="6">C6-C11</f>
        <v>-264631.895264217</v>
      </c>
      <c r="D17" s="131">
        <f t="shared" si="6"/>
        <v>36338.6924428555</v>
      </c>
      <c r="E17" s="131">
        <f t="shared" si="6"/>
        <v>35943.2140903555</v>
      </c>
      <c r="F17" s="131">
        <f t="shared" si="6"/>
        <v>35783.772923278</v>
      </c>
      <c r="G17" s="131">
        <f t="shared" si="6"/>
        <v>35624.3296745434</v>
      </c>
      <c r="H17" s="131">
        <f t="shared" si="6"/>
        <v>35464.8843420701</v>
      </c>
      <c r="I17" s="131">
        <f t="shared" si="6"/>
        <v>35038.9895666297</v>
      </c>
      <c r="J17" s="131">
        <f t="shared" si="6"/>
        <v>34879.5400604257</v>
      </c>
      <c r="K17" s="131">
        <f t="shared" si="6"/>
        <v>34720.0884642254</v>
      </c>
      <c r="L17" s="131">
        <f t="shared" si="6"/>
        <v>34560.6347759389</v>
      </c>
      <c r="M17" s="131">
        <f t="shared" si="6"/>
        <v>34401.1789934741</v>
      </c>
      <c r="N17" s="131">
        <f t="shared" si="6"/>
        <v>33975.2737575923</v>
      </c>
      <c r="O17" s="131">
        <f t="shared" si="6"/>
        <v>33815.8137804864</v>
      </c>
      <c r="P17" s="131">
        <f t="shared" si="6"/>
        <v>33656.3517029133</v>
      </c>
      <c r="Q17" s="131">
        <f t="shared" si="6"/>
        <v>33496.8875227726</v>
      </c>
      <c r="R17" s="131">
        <f t="shared" si="6"/>
        <v>33337.4212379618</v>
      </c>
      <c r="S17" s="131">
        <f t="shared" si="6"/>
        <v>32911.5054892317</v>
      </c>
      <c r="T17" s="131">
        <f t="shared" si="6"/>
        <v>32752.0349887645</v>
      </c>
      <c r="U17" s="131">
        <f t="shared" si="6"/>
        <v>32592.5623773068</v>
      </c>
      <c r="V17" s="131">
        <f t="shared" si="6"/>
        <v>32433.0876527477</v>
      </c>
      <c r="W17" s="131">
        <f t="shared" ref="W17:AC17" si="7">W6-W11</f>
        <v>32273.610812974</v>
      </c>
      <c r="X17" s="131">
        <f t="shared" si="7"/>
        <v>31847.684498726</v>
      </c>
      <c r="Y17" s="131">
        <f t="shared" si="7"/>
        <v>31688.2034221755</v>
      </c>
      <c r="Z17" s="131">
        <f t="shared" si="7"/>
        <v>31528.7202240584</v>
      </c>
      <c r="AA17" s="131">
        <f t="shared" si="7"/>
        <v>31369.2349022532</v>
      </c>
      <c r="AB17" s="131">
        <f t="shared" si="7"/>
        <v>31209.7474546361</v>
      </c>
      <c r="AC17" s="131">
        <f t="shared" si="7"/>
        <v>-155.3202</v>
      </c>
    </row>
    <row r="18" ht="20.25" customHeight="1" spans="1:29">
      <c r="A18" s="129">
        <v>4</v>
      </c>
      <c r="B18" s="773" t="s">
        <v>773</v>
      </c>
      <c r="C18" s="131">
        <f>C17</f>
        <v>-264631.895264217</v>
      </c>
      <c r="D18" s="131">
        <f>IF(D17=0,0,C18+D17)</f>
        <v>-228293.202821362</v>
      </c>
      <c r="E18" s="131">
        <f>IF(E17=0,0,D18+E17)</f>
        <v>-192349.988731006</v>
      </c>
      <c r="F18" s="131">
        <f t="shared" ref="F18:AC18" si="8">IF(F17=0,0,E18+F17)</f>
        <v>-156566.215807728</v>
      </c>
      <c r="G18" s="131">
        <f t="shared" si="8"/>
        <v>-120941.886133185</v>
      </c>
      <c r="H18" s="131">
        <f t="shared" si="8"/>
        <v>-85477.0017911149</v>
      </c>
      <c r="I18" s="131">
        <f t="shared" si="8"/>
        <v>-50438.0122244852</v>
      </c>
      <c r="J18" s="131">
        <f t="shared" si="8"/>
        <v>-15558.4721640596</v>
      </c>
      <c r="K18" s="131">
        <f t="shared" si="8"/>
        <v>19161.6163001658</v>
      </c>
      <c r="L18" s="131">
        <f t="shared" si="8"/>
        <v>53722.2510761047</v>
      </c>
      <c r="M18" s="131">
        <f t="shared" si="8"/>
        <v>88123.4300695788</v>
      </c>
      <c r="N18" s="131">
        <f t="shared" si="8"/>
        <v>122098.703827171</v>
      </c>
      <c r="O18" s="131">
        <f t="shared" si="8"/>
        <v>155914.517607657</v>
      </c>
      <c r="P18" s="131">
        <f t="shared" si="8"/>
        <v>189570.869310571</v>
      </c>
      <c r="Q18" s="131">
        <f t="shared" si="8"/>
        <v>223067.756833343</v>
      </c>
      <c r="R18" s="131">
        <f t="shared" si="8"/>
        <v>256405.178071305</v>
      </c>
      <c r="S18" s="131">
        <f t="shared" si="8"/>
        <v>289316.683560537</v>
      </c>
      <c r="T18" s="131">
        <f t="shared" si="8"/>
        <v>322068.718549301</v>
      </c>
      <c r="U18" s="131">
        <f t="shared" si="8"/>
        <v>354661.280926608</v>
      </c>
      <c r="V18" s="131">
        <f t="shared" si="8"/>
        <v>387094.368579356</v>
      </c>
      <c r="W18" s="131">
        <f t="shared" si="8"/>
        <v>419367.97939233</v>
      </c>
      <c r="X18" s="131">
        <f t="shared" si="8"/>
        <v>451215.663891056</v>
      </c>
      <c r="Y18" s="131">
        <f t="shared" si="8"/>
        <v>482903.867313231</v>
      </c>
      <c r="Z18" s="131">
        <f t="shared" si="8"/>
        <v>514432.58753729</v>
      </c>
      <c r="AA18" s="131">
        <f t="shared" si="8"/>
        <v>545801.822439543</v>
      </c>
      <c r="AB18" s="131">
        <f t="shared" si="8"/>
        <v>577011.569894179</v>
      </c>
      <c r="AC18" s="131">
        <f t="shared" si="8"/>
        <v>576856.249694179</v>
      </c>
    </row>
    <row r="19" ht="20.25" customHeight="1" spans="1:29">
      <c r="A19" s="129">
        <v>5</v>
      </c>
      <c r="B19" s="773" t="s">
        <v>774</v>
      </c>
      <c r="C19" s="771">
        <f>损益表!D13</f>
        <v>0</v>
      </c>
      <c r="D19" s="771">
        <f>IF(假设及结论!$C$30="YES",IF(D5&lt;=ConstructPeriod+3,0,IF(D5&lt;=ConstructPeriod+6,损益表!E26*假设及结论!$B$30*0.5,损益表!E26*假设及结论!$B$30)),损益表!E26*IF(E5&gt;10,假设及结论!$B$30,0))</f>
        <v>0</v>
      </c>
      <c r="E19" s="771">
        <f>IF(假设及结论!$C$30="YES",IF(E5&lt;=ConstructPeriod+3,0,IF(E5&lt;=ConstructPeriod+6,损益表!F26*假设及结论!$B$30*0.5,损益表!F26*假设及结论!$B$30)),损益表!F26*IF(F5&gt;10,假设及结论!$B$30,0))</f>
        <v>0</v>
      </c>
      <c r="F19" s="771">
        <f>IF(假设及结论!$C$30="YES",IF(F5&lt;=ConstructPeriod+3,0,IF(F5&lt;=ConstructPeriod+6,损益表!G26*假设及结论!$B$30*0.5,损益表!G26*假设及结论!$B$30)),损益表!G26*IF(G5&gt;10,假设及结论!$B$30,0))</f>
        <v>0</v>
      </c>
      <c r="G19" s="771">
        <f>IF(假设及结论!$C$30="YES",IF(G5&lt;=ConstructPeriod+3,0,IF(G5&lt;=ConstructPeriod+6,损益表!H26*假设及结论!$B$30*0.5,损益表!H26*假设及结论!$B$30)),损益表!H26*IF(H5&gt;10,假设及结论!$B$30,0))</f>
        <v>0</v>
      </c>
      <c r="H19" s="771">
        <f>IF(假设及结论!$C$30="YES",IF(H5&lt;=ConstructPeriod+3,0,IF(H5&lt;=ConstructPeriod+6,损益表!I26*假设及结论!$B$30*0.5,损益表!I26*假设及结论!$B$30)),损益表!I26*IF(I5&gt;10,假设及结论!$B$30,0))</f>
        <v>0</v>
      </c>
      <c r="I19" s="771">
        <f>IF(假设及结论!$C$30="YES",IF(I5&lt;=ConstructPeriod+3,0,IF(I5&lt;=ConstructPeriod+6,损益表!J26*假设及结论!$B$30*0.5,损益表!J26*假设及结论!$B$30)),损益表!J26*IF(J5&gt;10,假设及结论!$B$30,0))</f>
        <v>0</v>
      </c>
      <c r="J19" s="771">
        <f>IF(假设及结论!$C$30="YES",IF(J5&lt;=ConstructPeriod+3,0,IF(J5&lt;=ConstructPeriod+6,损益表!K26*假设及结论!$B$30*0.5,损益表!K26*假设及结论!$B$30)),损益表!K26*IF(K5&gt;10,假设及结论!$B$30,0))</f>
        <v>0</v>
      </c>
      <c r="K19" s="771">
        <f>IF(假设及结论!$C$30="YES",IF(K5&lt;=ConstructPeriod+3,0,IF(K5&lt;=ConstructPeriod+6,损益表!L26*假设及结论!$B$30*0.5,损益表!L26*假设及结论!$B$30)),损益表!L26*IF(L5&gt;10,假设及结论!$B$30,0))</f>
        <v>0</v>
      </c>
      <c r="L19" s="771">
        <f>IF(假设及结论!$C$30="YES",IF(L5&lt;=ConstructPeriod+3,0,IF(L5&lt;=ConstructPeriod+6,损益表!M26*假设及结论!$B$30*0.5,损益表!M26*假设及结论!$B$30)),损益表!M26*IF(M5&gt;10,假设及结论!$B$30,0))</f>
        <v>2443.56352044461</v>
      </c>
      <c r="M19" s="771">
        <f>IF(假设及结论!$C$30="YES",IF(M5&lt;=ConstructPeriod+3,0,IF(M5&lt;=ConstructPeriod+6,损益表!N26*假设及结论!$B$30*0.5,损益表!N26*假设及结论!$B$30)),损益表!N26*IF(N5&gt;10,假设及结论!$B$30,0))</f>
        <v>2427.61794219814</v>
      </c>
      <c r="N19" s="771">
        <f>IF(假设及结论!$C$30="YES",IF(N5&lt;=ConstructPeriod+3,0,IF(N5&lt;=ConstructPeriod+6,损益表!O26*假设及结论!$B$30*0.5,损益表!O26*假设及结论!$B$30)),损益表!O26*IF(O5&gt;10,假设及结论!$B$30,0))</f>
        <v>2385.02741860996</v>
      </c>
      <c r="O19" s="771">
        <f>IF(假设及结论!$C$30="YES",IF(O5&lt;=ConstructPeriod+3,0,IF(O5&lt;=ConstructPeriod+6,损益表!P26*假设及结论!$B$30*0.5,损益表!P26*假设及结论!$B$30)),损益表!P26*IF(P5&gt;10,假设及结论!$B$30,0))</f>
        <v>2369.08142089936</v>
      </c>
      <c r="P19" s="771">
        <f>IF(假设及结论!$C$30="YES",IF(P5&lt;=ConstructPeriod+3,0,IF(P5&lt;=ConstructPeriod+6,损益表!Q26*假设及结论!$B$30*0.5,损益表!Q26*假设及结论!$B$30)),损益表!Q26*IF(Q5&gt;10,假设及结论!$B$30,0))</f>
        <v>2353.13521314205</v>
      </c>
      <c r="Q19" s="771">
        <f>IF(假设及结论!$C$30="YES",IF(Q5&lt;=ConstructPeriod+3,0,IF(Q5&lt;=ConstructPeriod+6,损益表!R26*假设及结论!$B$30*0.5,损益表!R26*假设及结论!$B$30)),损益表!R26*IF(R5&gt;10,假设及结论!$B$30,0))</f>
        <v>2337.18879512799</v>
      </c>
      <c r="R19" s="771">
        <f>IF(假设及结论!$C$30="YES",IF(R5&lt;=ConstructPeriod+3,0,IF(R5&lt;=ConstructPeriod+6,损益表!S26*假设及结论!$B$30*0.5,损益表!S26*假设及结论!$B$30)),损益表!S26*IF(S5&gt;10,假设及结论!$B$30,0))</f>
        <v>2321.24216664691</v>
      </c>
      <c r="S19" s="771">
        <f>IF(假设及结论!$C$30="YES",IF(S5&lt;=ConstructPeriod+3,0,IF(S5&lt;=ConstructPeriod+6,损益表!T26*假设及结论!$B$30*0.5,损益表!T26*假设及结论!$B$30)),损益表!T26*IF(T5&gt;10,假设及结论!$B$30,0))</f>
        <v>2278.65059177389</v>
      </c>
      <c r="T19" s="771">
        <f>IF(假设及结论!$C$30="YES",IF(T5&lt;=ConstructPeriod+3,0,IF(T5&lt;=ConstructPeriod+6,损益表!U26*假设及结论!$B$30*0.5,损益表!U26*假设及结论!$B$30)),损益表!U26*IF(U5&gt;10,假设及结论!$B$30,0))</f>
        <v>2262.70354172717</v>
      </c>
      <c r="U19" s="771">
        <f>IF(假设及结论!$C$30="YES",IF(U5&lt;=ConstructPeriod+3,0,IF(U5&lt;=ConstructPeriod+6,损益表!V26*假设及结论!$B$30*0.5,损益表!V26*假设及结论!$B$30)),损益表!V26*IF(V5&gt;10,假设及结论!$B$30,0))</f>
        <v>2246.75628058141</v>
      </c>
      <c r="V19" s="771">
        <f>IF(假设及结论!$C$30="YES",IF(V5&lt;=ConstructPeriod+3,0,IF(V5&lt;=ConstructPeriod+6,损益表!W26*假设及结论!$B$30*0.5,损益表!W26*假设及结论!$B$30)),损益表!W26*IF(W5&gt;10,假设及结论!$B$30,0))</f>
        <v>2230.8088081255</v>
      </c>
      <c r="W19" s="771">
        <f>IF(假设及结论!$C$30="YES",IF(W5&lt;=ConstructPeriod+3,0,IF(W5&lt;=ConstructPeriod+6,损益表!X26*假设及结论!$B$30*0.5,损益表!X26*假设及结论!$B$30)),损益表!X26*IF(X5&gt;10,假设及结论!$B$30,0))</f>
        <v>2214.86112414813</v>
      </c>
      <c r="X19" s="771">
        <f>IF(假设及结论!$C$30="YES",IF(X5&lt;=ConstructPeriod+3,0,IF(X5&lt;=ConstructPeriod+6,损益表!Y26*假设及结论!$B$30*0.5,损益表!Y26*假设及结论!$B$30)),损益表!Y26*IF(Y5&gt;10,假设及结论!$B$30,0))</f>
        <v>3184.7684498726</v>
      </c>
      <c r="Y19" s="771">
        <f>IF(假设及结论!$C$30="YES",IF(Y5&lt;=ConstructPeriod+3,0,IF(Y5&lt;=ConstructPeriod+6,损益表!Z26*假设及结论!$B$30*0.5,损益表!Z26*假设及结论!$B$30)),损益表!Z26*IF(Z5&gt;10,假设及结论!$B$30,0))</f>
        <v>3168.82034221755</v>
      </c>
      <c r="Z19" s="771">
        <f>IF(假设及结论!$C$30="YES",IF(Z5&lt;=ConstructPeriod+3,0,IF(Z5&lt;=ConstructPeriod+6,损益表!AA26*假设及结论!$B$30*0.5,损益表!AA26*假设及结论!$B$30)),损益表!AA26*IF(AA5&gt;10,假设及结论!$B$30,0))</f>
        <v>3152.87202240584</v>
      </c>
      <c r="AA19" s="771">
        <f>IF(假设及结论!$C$30="YES",IF(AA5&lt;=ConstructPeriod+3,0,IF(AA5&lt;=ConstructPeriod+6,损益表!AB26*假设及结论!$B$30*0.5,损益表!AB26*假设及结论!$B$30)),损益表!AB26*IF(AB5&gt;10,假设及结论!$B$30,0))</f>
        <v>3136.92349022532</v>
      </c>
      <c r="AB19" s="771">
        <f>IF(假设及结论!$C$30="YES",IF(AB5&lt;=ConstructPeriod+3,0,IF(AB5&lt;=ConstructPeriod+6,损益表!AC26*假设及结论!$B$30*0.5,损益表!AC26*假设及结论!$B$30)),损益表!AC26*IF(AC5&gt;10,假设及结论!$B$30,0))</f>
        <v>3120.97474546362</v>
      </c>
      <c r="AC19" s="771">
        <f>IF(假设及结论!$C$30="YES",IF(AC5&lt;=ConstructPeriod+3,0,IF(AC5&lt;=ConstructPeriod+6,损益表!AD26*假设及结论!$B$30*0.5,损益表!AD26*假设及结论!$B$30)),损益表!AD26*IF(AD5&gt;10,假设及结论!$B$30,0))</f>
        <v>0</v>
      </c>
    </row>
    <row r="20" ht="20.25" customHeight="1" spans="1:29">
      <c r="A20" s="129">
        <v>6</v>
      </c>
      <c r="B20" s="773" t="s">
        <v>775</v>
      </c>
      <c r="C20" s="771"/>
      <c r="D20" s="771">
        <f>损益表!E19</f>
        <v>974.960973566006</v>
      </c>
      <c r="E20" s="771">
        <f>损益表!F19</f>
        <v>977.568633941148</v>
      </c>
      <c r="F20" s="771">
        <f>损益表!G19</f>
        <v>991.978153587415</v>
      </c>
      <c r="G20" s="771">
        <f>损益表!H19</f>
        <v>1006.38756915083</v>
      </c>
      <c r="H20" s="771">
        <f>损益表!I19</f>
        <v>1020.7968805273</v>
      </c>
      <c r="I20" s="771">
        <f>损益表!J19</f>
        <v>1021.88371975543</v>
      </c>
      <c r="J20" s="771">
        <f>损益表!K19</f>
        <v>1036.29282244537</v>
      </c>
      <c r="K20" s="771">
        <f>损益表!L19</f>
        <v>1050.7018206355</v>
      </c>
      <c r="L20" s="771">
        <f>损益表!M19</f>
        <v>1065.11071422131</v>
      </c>
      <c r="M20" s="771">
        <f>损益表!N19</f>
        <v>971.567552788395</v>
      </c>
      <c r="N20" s="771">
        <f>损益表!O19</f>
        <v>972.545237373842</v>
      </c>
      <c r="O20" s="771">
        <f>损益表!P19</f>
        <v>985.512958604201</v>
      </c>
      <c r="P20" s="771">
        <f>损益表!Q19</f>
        <v>998.48058531354</v>
      </c>
      <c r="Q20" s="771">
        <f>损益表!R19</f>
        <v>1011.44811740734</v>
      </c>
      <c r="R20" s="771">
        <f>损益表!S19</f>
        <v>1024.41555479098</v>
      </c>
      <c r="S20" s="771">
        <f>损益表!T19</f>
        <v>1025.39276629825</v>
      </c>
      <c r="T20" s="771">
        <f>损益表!U19</f>
        <v>1018.21659377723</v>
      </c>
      <c r="U20" s="771">
        <f>损益表!V19</f>
        <v>1011.04032626163</v>
      </c>
      <c r="V20" s="771">
        <f>损益表!W19</f>
        <v>1003.86396365647</v>
      </c>
      <c r="W20" s="771">
        <f>损益表!X19</f>
        <v>996.687505866658</v>
      </c>
      <c r="X20" s="771">
        <f>损益表!Y19</f>
        <v>1433.14580244267</v>
      </c>
      <c r="Y20" s="771">
        <f>损益表!Z19</f>
        <v>1425.9691539979</v>
      </c>
      <c r="Z20" s="771">
        <f>损益表!AA19</f>
        <v>1418.79241008263</v>
      </c>
      <c r="AA20" s="771">
        <f>损益表!AB19</f>
        <v>1411.61557060139</v>
      </c>
      <c r="AB20" s="771">
        <f>损益表!AC19</f>
        <v>1404.43863545863</v>
      </c>
      <c r="AC20" s="771">
        <f>损益表!AD19</f>
        <v>-7.76600999999992</v>
      </c>
    </row>
    <row r="21" ht="20.25" customHeight="1" spans="1:29">
      <c r="A21" s="129">
        <v>7</v>
      </c>
      <c r="B21" s="773" t="s">
        <v>776</v>
      </c>
      <c r="C21" s="131">
        <f>C17-C19</f>
        <v>-264631.895264217</v>
      </c>
      <c r="D21" s="131">
        <f t="shared" ref="D21:AC21" si="9">D17-D19-D20</f>
        <v>35363.7314692895</v>
      </c>
      <c r="E21" s="131">
        <f t="shared" si="9"/>
        <v>34965.6454564143</v>
      </c>
      <c r="F21" s="131">
        <f t="shared" si="9"/>
        <v>34791.7947696905</v>
      </c>
      <c r="G21" s="131">
        <f t="shared" si="9"/>
        <v>34617.9421053925</v>
      </c>
      <c r="H21" s="131">
        <f t="shared" si="9"/>
        <v>34444.0874615428</v>
      </c>
      <c r="I21" s="131">
        <f t="shared" si="9"/>
        <v>34017.1058468743</v>
      </c>
      <c r="J21" s="131">
        <f t="shared" si="9"/>
        <v>33843.2472379803</v>
      </c>
      <c r="K21" s="131">
        <f t="shared" si="9"/>
        <v>33669.3866435899</v>
      </c>
      <c r="L21" s="131">
        <f t="shared" si="9"/>
        <v>31051.960541273</v>
      </c>
      <c r="M21" s="131">
        <f t="shared" si="9"/>
        <v>31001.9934984876</v>
      </c>
      <c r="N21" s="131">
        <f t="shared" si="9"/>
        <v>30617.7011016085</v>
      </c>
      <c r="O21" s="131">
        <f t="shared" si="9"/>
        <v>30461.2194009828</v>
      </c>
      <c r="P21" s="131">
        <f t="shared" si="9"/>
        <v>30304.7359044577</v>
      </c>
      <c r="Q21" s="131">
        <f t="shared" si="9"/>
        <v>30148.2506102373</v>
      </c>
      <c r="R21" s="131">
        <f t="shared" si="9"/>
        <v>29991.7635165239</v>
      </c>
      <c r="S21" s="131">
        <f t="shared" si="9"/>
        <v>29607.4621311595</v>
      </c>
      <c r="T21" s="131">
        <f t="shared" si="9"/>
        <v>29471.1148532601</v>
      </c>
      <c r="U21" s="131">
        <f t="shared" si="9"/>
        <v>29334.7657704638</v>
      </c>
      <c r="V21" s="131">
        <f t="shared" si="9"/>
        <v>29198.4148809657</v>
      </c>
      <c r="W21" s="131">
        <f t="shared" si="9"/>
        <v>29062.0621829593</v>
      </c>
      <c r="X21" s="131">
        <f t="shared" si="9"/>
        <v>27229.7702464108</v>
      </c>
      <c r="Y21" s="131">
        <f t="shared" si="9"/>
        <v>27093.41392596</v>
      </c>
      <c r="Z21" s="131">
        <f t="shared" si="9"/>
        <v>26957.0557915699</v>
      </c>
      <c r="AA21" s="131">
        <f t="shared" si="9"/>
        <v>26820.6958414265</v>
      </c>
      <c r="AB21" s="131">
        <f t="shared" si="9"/>
        <v>26684.3340737139</v>
      </c>
      <c r="AC21" s="131">
        <f t="shared" si="9"/>
        <v>-147.55419</v>
      </c>
    </row>
    <row r="22" ht="20.25" customHeight="1" spans="1:29">
      <c r="A22" s="129">
        <v>8</v>
      </c>
      <c r="B22" s="773" t="s">
        <v>777</v>
      </c>
      <c r="C22" s="131">
        <f>C21</f>
        <v>-264631.895264217</v>
      </c>
      <c r="D22" s="131">
        <f>IF(D21=0,0,C22+D21)</f>
        <v>-229268.163794928</v>
      </c>
      <c r="E22" s="131">
        <f t="shared" ref="E22:AC22" si="10">IF(E21=0,0,D22+E21)</f>
        <v>-194302.518338513</v>
      </c>
      <c r="F22" s="131">
        <f t="shared" si="10"/>
        <v>-159510.723568823</v>
      </c>
      <c r="G22" s="131">
        <f t="shared" si="10"/>
        <v>-124892.78146343</v>
      </c>
      <c r="H22" s="131">
        <f t="shared" si="10"/>
        <v>-90448.6940018876</v>
      </c>
      <c r="I22" s="131">
        <f t="shared" si="10"/>
        <v>-56431.5881550133</v>
      </c>
      <c r="J22" s="131">
        <f t="shared" si="10"/>
        <v>-22588.340917033</v>
      </c>
      <c r="K22" s="131">
        <f t="shared" si="10"/>
        <v>11081.0457265569</v>
      </c>
      <c r="L22" s="131">
        <f t="shared" si="10"/>
        <v>42133.0062678298</v>
      </c>
      <c r="M22" s="131">
        <f t="shared" si="10"/>
        <v>73134.9997663174</v>
      </c>
      <c r="N22" s="131">
        <f t="shared" si="10"/>
        <v>103752.700867926</v>
      </c>
      <c r="O22" s="131">
        <f t="shared" si="10"/>
        <v>134213.920268909</v>
      </c>
      <c r="P22" s="131">
        <f t="shared" si="10"/>
        <v>164518.656173366</v>
      </c>
      <c r="Q22" s="131">
        <f t="shared" si="10"/>
        <v>194666.906783604</v>
      </c>
      <c r="R22" s="131">
        <f t="shared" si="10"/>
        <v>224658.670300128</v>
      </c>
      <c r="S22" s="131">
        <f t="shared" si="10"/>
        <v>254266.132431287</v>
      </c>
      <c r="T22" s="131">
        <f t="shared" si="10"/>
        <v>283737.247284547</v>
      </c>
      <c r="U22" s="131">
        <f t="shared" si="10"/>
        <v>313072.013055011</v>
      </c>
      <c r="V22" s="131">
        <f t="shared" si="10"/>
        <v>342270.427935977</v>
      </c>
      <c r="W22" s="131">
        <f t="shared" si="10"/>
        <v>371332.490118936</v>
      </c>
      <c r="X22" s="131">
        <f t="shared" si="10"/>
        <v>398562.260365347</v>
      </c>
      <c r="Y22" s="131">
        <f t="shared" si="10"/>
        <v>425655.674291307</v>
      </c>
      <c r="Z22" s="131">
        <f t="shared" si="10"/>
        <v>452612.730082877</v>
      </c>
      <c r="AA22" s="131">
        <f t="shared" si="10"/>
        <v>479433.425924303</v>
      </c>
      <c r="AB22" s="131">
        <f t="shared" si="10"/>
        <v>506117.759998017</v>
      </c>
      <c r="AC22" s="131">
        <f t="shared" si="10"/>
        <v>505970.205808017</v>
      </c>
    </row>
    <row r="23" ht="20.25" customHeight="1" spans="1:29">
      <c r="A23" s="42"/>
      <c r="B23" s="792"/>
      <c r="C23" s="45"/>
      <c r="D23" s="45"/>
      <c r="E23" s="45"/>
      <c r="F23" s="45"/>
      <c r="G23" s="45"/>
      <c r="H23" s="45"/>
      <c r="I23" s="45"/>
      <c r="J23" s="45"/>
      <c r="K23" s="45"/>
      <c r="L23" s="45"/>
      <c r="M23" s="45"/>
      <c r="N23" s="45"/>
      <c r="O23" s="45"/>
      <c r="P23" s="45"/>
      <c r="Q23" s="45"/>
      <c r="R23" s="45"/>
      <c r="S23" s="45"/>
      <c r="T23" s="45"/>
      <c r="U23" s="45"/>
      <c r="V23" s="45"/>
      <c r="W23" s="45"/>
    </row>
    <row r="24" ht="20.25" customHeight="1" spans="1:29">
      <c r="A24" s="42"/>
      <c r="B24" s="794"/>
      <c r="C24" s="45"/>
      <c r="D24" s="45"/>
      <c r="E24" s="45"/>
      <c r="F24" s="45"/>
      <c r="G24" s="45"/>
      <c r="H24" s="45"/>
      <c r="I24" s="45"/>
      <c r="J24" s="45"/>
      <c r="K24" s="45"/>
      <c r="L24" s="45"/>
      <c r="M24" s="45"/>
      <c r="N24" s="45"/>
      <c r="O24" s="45"/>
      <c r="P24" s="45"/>
      <c r="Q24" s="45"/>
      <c r="R24" s="45"/>
      <c r="S24" s="45"/>
      <c r="T24" s="45"/>
      <c r="U24" s="45"/>
      <c r="V24" s="45"/>
      <c r="W24" s="45"/>
    </row>
    <row r="25" ht="20.25" customHeight="1" spans="1:29">
      <c r="A25" s="41"/>
      <c r="B25" s="792" t="s">
        <v>778</v>
      </c>
      <c r="C25" s="42"/>
      <c r="D25" s="42"/>
      <c r="E25" s="42"/>
      <c r="F25" s="42"/>
      <c r="G25" s="42"/>
      <c r="H25" s="42"/>
      <c r="I25" s="42"/>
      <c r="J25" s="42"/>
      <c r="K25" s="42"/>
      <c r="L25" s="42"/>
      <c r="M25" s="42"/>
      <c r="N25" s="42"/>
      <c r="O25" s="42"/>
      <c r="P25" s="42"/>
      <c r="Q25" s="42"/>
      <c r="R25" s="42"/>
      <c r="S25" s="42"/>
      <c r="T25" s="42"/>
      <c r="U25" s="42"/>
      <c r="V25" s="42"/>
      <c r="W25" s="42"/>
    </row>
    <row r="26" ht="20.25" customHeight="1" spans="1:29">
      <c r="A26" s="41"/>
      <c r="B26" s="795" t="s">
        <v>779</v>
      </c>
      <c r="C26" s="41"/>
      <c r="D26" s="42"/>
      <c r="E26" s="796">
        <f>IRR(C17:AC17)</f>
        <v>0.124566383950186</v>
      </c>
      <c r="F26" s="797"/>
      <c r="G26" s="42"/>
      <c r="H26" s="42"/>
      <c r="I26" s="42"/>
      <c r="J26" s="42"/>
      <c r="K26" s="42"/>
      <c r="L26" s="42"/>
      <c r="M26" s="42"/>
      <c r="N26" s="42"/>
      <c r="O26" s="42"/>
      <c r="P26" s="42"/>
      <c r="Q26" s="42"/>
      <c r="R26" s="42"/>
      <c r="S26" s="42"/>
      <c r="T26" s="42"/>
      <c r="U26" s="42"/>
      <c r="V26" s="42"/>
      <c r="W26" s="42"/>
    </row>
    <row r="27" ht="20.25" customHeight="1" spans="1:29">
      <c r="A27" s="41"/>
      <c r="B27" s="795" t="s">
        <v>780</v>
      </c>
      <c r="C27" s="41"/>
      <c r="D27" s="42"/>
      <c r="E27" s="796">
        <f>IRR(C21:AC21)</f>
        <v>0.115992191541394</v>
      </c>
      <c r="F27" s="797"/>
      <c r="G27" s="42"/>
      <c r="H27" s="42"/>
      <c r="I27" s="42"/>
      <c r="J27" s="42"/>
      <c r="K27" s="42"/>
      <c r="L27" s="42"/>
      <c r="M27" s="42"/>
      <c r="N27" s="42"/>
      <c r="O27" s="42"/>
      <c r="P27" s="42"/>
      <c r="Q27" s="42"/>
      <c r="R27" s="42"/>
      <c r="S27" s="42"/>
      <c r="T27" s="42"/>
      <c r="U27" s="42"/>
      <c r="V27" s="42"/>
      <c r="W27" s="42"/>
    </row>
    <row r="28" ht="20.25" customHeight="1" spans="1:29">
      <c r="A28" s="41"/>
      <c r="B28" s="795" t="str">
        <f>"税前财务净现值(折现率 "&amp;WACC*100&amp;"%)"</f>
        <v>税前财务净现值(折现率 6.825%)</v>
      </c>
      <c r="C28" s="41"/>
      <c r="D28" s="42"/>
      <c r="E28" s="798">
        <f>NPV(DiscountRate,C17:AC17)</f>
        <v>133147.108828294</v>
      </c>
      <c r="F28" s="799"/>
      <c r="G28" s="42"/>
      <c r="H28" s="42"/>
      <c r="I28" s="42"/>
      <c r="J28" s="42"/>
      <c r="K28" s="42"/>
      <c r="L28" s="42"/>
      <c r="M28" s="42"/>
      <c r="N28" s="42"/>
      <c r="O28" s="42"/>
      <c r="P28" s="42"/>
      <c r="Q28" s="42"/>
      <c r="R28" s="42"/>
      <c r="S28" s="42"/>
      <c r="T28" s="42"/>
      <c r="U28" s="42"/>
      <c r="V28" s="42"/>
      <c r="W28" s="42"/>
    </row>
    <row r="29" ht="20.25" customHeight="1" spans="1:29">
      <c r="A29" s="41"/>
      <c r="B29" s="795" t="str">
        <f>"税后财务净现值(折现率 "&amp;WACC*100&amp;"%)"</f>
        <v>税后财务净现值(折现率 6.825%)</v>
      </c>
      <c r="C29" s="41"/>
      <c r="D29" s="42"/>
      <c r="E29" s="798">
        <f>NPV(DiscountRate,C21:AC21)</f>
        <v>107966.840539497</v>
      </c>
      <c r="F29" s="799"/>
      <c r="G29" s="42"/>
      <c r="H29" s="42"/>
      <c r="I29" s="42"/>
      <c r="J29" s="42"/>
      <c r="K29" s="42"/>
      <c r="L29" s="42"/>
      <c r="M29" s="134"/>
      <c r="N29" s="42"/>
      <c r="O29" s="42"/>
      <c r="P29" s="42"/>
      <c r="Q29" s="42"/>
      <c r="R29" s="42"/>
      <c r="S29" s="42"/>
      <c r="T29" s="42"/>
      <c r="U29" s="42"/>
      <c r="V29" s="42"/>
      <c r="W29" s="42"/>
    </row>
    <row r="30" ht="20.25" customHeight="1" spans="1:29">
      <c r="A30" s="41"/>
      <c r="B30" s="795" t="s">
        <v>781</v>
      </c>
      <c r="C30" s="41"/>
      <c r="D30" s="42"/>
      <c r="E30" s="800">
        <f t="array" ref="E30">(MATCH(1,IF(C18:AC18&gt;0,1,0),0)-1)-INDEX($C$17:$AC$18,2,(MATCH(1,IF(C18:AC18&gt;0,1,0),0)-1))/INDEX($C$17:$AC$18,1,(MATCH(1,IF(C18:AC18&gt;0,1,0),0)))</f>
        <v>8.44811153577822</v>
      </c>
      <c r="F30" s="801"/>
      <c r="G30" s="42"/>
      <c r="H30" s="42"/>
      <c r="I30" s="42"/>
      <c r="J30" s="42"/>
      <c r="K30" s="42"/>
      <c r="L30" s="42"/>
      <c r="M30" s="42"/>
      <c r="N30" s="42"/>
      <c r="O30" s="42"/>
      <c r="P30" s="42"/>
      <c r="Q30" s="42"/>
      <c r="R30" s="42"/>
      <c r="S30" s="42"/>
      <c r="T30" s="42"/>
      <c r="U30" s="42"/>
    </row>
    <row r="31" ht="20.25" customHeight="1" spans="1:29">
      <c r="A31" s="41"/>
      <c r="B31" s="795" t="s">
        <v>782</v>
      </c>
      <c r="C31" s="802"/>
      <c r="D31" s="42"/>
      <c r="E31" s="803">
        <f t="array" ref="E31">(MATCH(1,IF(C22:AC22&gt;0,1,0),0)-1)-INDEX($C$21:$AC$22,2,(MATCH(1,IF(C22:AC22&gt;0,1,0),0)-1))/INDEX($C$21:$AC$22,1,(MATCH(1,IF(C22:AC22&gt;0,1,0),0)))</f>
        <v>8.67088661745293</v>
      </c>
      <c r="F31" s="804"/>
      <c r="G31" s="42"/>
      <c r="H31" s="42"/>
      <c r="I31" s="42"/>
      <c r="J31" s="42"/>
      <c r="K31" s="42"/>
      <c r="L31" s="42"/>
      <c r="M31" s="42"/>
      <c r="N31" s="42"/>
      <c r="O31" s="42"/>
      <c r="P31" s="42"/>
      <c r="Q31" s="42"/>
      <c r="R31" s="42"/>
      <c r="S31" s="42"/>
    </row>
    <row r="32" spans="1:29">
      <c r="B32" s="135"/>
    </row>
    <row r="33" spans="2:5">
      <c r="E33" s="120"/>
    </row>
    <row r="35" spans="2:5">
      <c r="B35" s="805"/>
    </row>
    <row r="36" spans="2:5">
      <c r="B36" s="805"/>
      <c r="C36" s="120"/>
    </row>
    <row r="38" spans="2:5">
      <c r="B38" s="805"/>
    </row>
    <row r="39" spans="2:5">
      <c r="B39" s="805"/>
    </row>
  </sheetData>
  <mergeCells count="3">
    <mergeCell ref="A2:W2"/>
    <mergeCell ref="C4:AC4"/>
    <mergeCell ref="B4:B5"/>
  </mergeCells>
  <printOptions horizontalCentered="1"/>
  <pageMargins left="0" right="0" top="0.786805555555556" bottom="0" header="0.511805555555556" footer="0.511805555555556"/>
  <pageSetup paperSize="9" orientation="portrait"/>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9"/>
  <sheetViews>
    <sheetView showZeros="0" view="pageBreakPreview" zoomScaleNormal="100" topLeftCell="A7" workbookViewId="0">
      <selection activeCell="E11" sqref="E11"/>
    </sheetView>
  </sheetViews>
  <sheetFormatPr defaultColWidth="8.66071428571429" defaultRowHeight="17.6"/>
  <cols>
    <col min="1" max="1" width="10.3303571428571" style="25" customWidth="1"/>
    <col min="2" max="2" width="23.9553571428571" style="25" customWidth="1"/>
    <col min="3" max="3" width="12.3303571428571" style="25" customWidth="1"/>
    <col min="4" max="4" width="8.66071428571429" style="25" customWidth="1"/>
    <col min="5" max="5" width="13.9821428571429" style="25" customWidth="1"/>
    <col min="6" max="6" width="10.1607142857143" style="25" customWidth="1"/>
    <col min="7" max="7" width="12.8303571428571" style="25" customWidth="1"/>
    <col min="8" max="8" width="10.3303571428571" style="25" customWidth="1"/>
    <col min="9" max="9" width="9.5" style="25" customWidth="1"/>
    <col min="10" max="11" width="10.5" style="25" customWidth="1"/>
    <col min="12" max="12" width="9.66071428571429" style="25" customWidth="1"/>
    <col min="13" max="13" width="9.33035714285714" style="25" customWidth="1"/>
    <col min="14" max="14" width="9.66071428571429" style="25" customWidth="1"/>
    <col min="15" max="15" width="9" style="25" customWidth="1"/>
    <col min="16" max="16" width="9.33035714285714" style="25" customWidth="1"/>
    <col min="17" max="17" width="11.1607142857143" style="25" customWidth="1"/>
    <col min="18" max="19" width="10.3303571428571" style="25" customWidth="1"/>
    <col min="20" max="20" width="11.6607142857143" style="25" customWidth="1"/>
    <col min="21" max="29" width="9" style="25" customWidth="1"/>
    <col min="30" max="16384" width="8.66071428571429" style="25"/>
  </cols>
  <sheetData>
    <row r="1" ht="18" customHeight="1" spans="1:29">
      <c r="A1" s="28"/>
      <c r="B1" s="35"/>
      <c r="C1" s="35"/>
      <c r="D1" s="35"/>
      <c r="E1" s="35"/>
      <c r="F1" s="35"/>
      <c r="G1" s="35"/>
      <c r="H1" s="35"/>
      <c r="I1" s="35"/>
      <c r="J1" s="35"/>
      <c r="K1" s="35"/>
      <c r="L1" s="35"/>
      <c r="M1" s="35"/>
    </row>
    <row r="2" ht="25" customHeight="1" spans="1:29">
      <c r="A2" s="139" t="s">
        <v>783</v>
      </c>
      <c r="B2" s="139"/>
      <c r="C2" s="139"/>
      <c r="D2" s="139"/>
      <c r="E2" s="139"/>
      <c r="F2" s="139"/>
      <c r="G2" s="139"/>
      <c r="H2" s="139"/>
      <c r="I2" s="139"/>
      <c r="J2" s="139"/>
      <c r="K2" s="139"/>
      <c r="L2" s="139"/>
      <c r="M2" s="139"/>
      <c r="N2" s="139"/>
      <c r="O2" s="139"/>
      <c r="P2" s="139"/>
      <c r="Q2" s="139"/>
      <c r="R2" s="139"/>
      <c r="S2" s="139"/>
      <c r="T2" s="139"/>
      <c r="U2" s="139"/>
      <c r="V2" s="139"/>
      <c r="W2" s="139"/>
    </row>
    <row r="3" ht="18" customHeight="1" spans="1:29">
      <c r="A3" s="35"/>
      <c r="B3" s="35"/>
      <c r="C3" s="35"/>
      <c r="D3" s="35"/>
      <c r="E3" s="35"/>
      <c r="F3" s="35"/>
      <c r="G3" s="35"/>
      <c r="H3" s="35"/>
      <c r="I3" s="35"/>
      <c r="J3" s="35"/>
      <c r="K3" s="35"/>
      <c r="L3" s="35"/>
      <c r="W3" s="770" t="s">
        <v>723</v>
      </c>
    </row>
    <row r="4" ht="21" customHeight="1" spans="1:29">
      <c r="A4" s="38" t="s">
        <v>724</v>
      </c>
      <c r="B4" s="100" t="s">
        <v>784</v>
      </c>
      <c r="C4" s="59" t="s">
        <v>762</v>
      </c>
      <c r="D4" s="59"/>
      <c r="E4" s="59"/>
      <c r="F4" s="59"/>
      <c r="G4" s="59"/>
      <c r="H4" s="59"/>
      <c r="I4" s="59"/>
      <c r="J4" s="59"/>
      <c r="K4" s="59"/>
      <c r="L4" s="59"/>
      <c r="M4" s="59"/>
      <c r="N4" s="59"/>
      <c r="O4" s="59"/>
      <c r="P4" s="59"/>
      <c r="Q4" s="59"/>
      <c r="R4" s="59"/>
      <c r="S4" s="59"/>
      <c r="T4" s="59"/>
      <c r="U4" s="59"/>
      <c r="V4" s="59"/>
      <c r="W4" s="59"/>
      <c r="X4" s="59"/>
      <c r="Y4" s="59"/>
      <c r="Z4" s="59"/>
      <c r="AA4" s="59"/>
      <c r="AB4" s="59"/>
      <c r="AC4" s="59"/>
    </row>
    <row r="5" ht="21" customHeight="1" spans="1:29">
      <c r="A5" s="43" t="s">
        <v>727</v>
      </c>
      <c r="B5" s="104"/>
      <c r="C5" s="43">
        <v>1</v>
      </c>
      <c r="D5" s="43">
        <v>2</v>
      </c>
      <c r="E5" s="43">
        <v>3</v>
      </c>
      <c r="F5" s="43">
        <v>4</v>
      </c>
      <c r="G5" s="43">
        <v>5</v>
      </c>
      <c r="H5" s="43">
        <v>6</v>
      </c>
      <c r="I5" s="43">
        <v>7</v>
      </c>
      <c r="J5" s="43">
        <v>8</v>
      </c>
      <c r="K5" s="43">
        <v>9</v>
      </c>
      <c r="L5" s="43">
        <v>10</v>
      </c>
      <c r="M5" s="43">
        <v>11</v>
      </c>
      <c r="N5" s="43">
        <v>12</v>
      </c>
      <c r="O5" s="43">
        <v>13</v>
      </c>
      <c r="P5" s="43">
        <v>14</v>
      </c>
      <c r="Q5" s="43">
        <v>15</v>
      </c>
      <c r="R5" s="43">
        <v>16</v>
      </c>
      <c r="S5" s="43">
        <v>17</v>
      </c>
      <c r="T5" s="43">
        <v>18</v>
      </c>
      <c r="U5" s="43">
        <v>19</v>
      </c>
      <c r="V5" s="43">
        <v>20</v>
      </c>
      <c r="W5" s="43">
        <v>21</v>
      </c>
      <c r="X5" s="43">
        <v>22</v>
      </c>
      <c r="Y5" s="43">
        <v>23</v>
      </c>
      <c r="Z5" s="43">
        <v>24</v>
      </c>
      <c r="AA5" s="43">
        <v>25</v>
      </c>
      <c r="AB5" s="43">
        <v>26</v>
      </c>
      <c r="AC5" s="43">
        <v>27</v>
      </c>
    </row>
    <row r="6" ht="21" customHeight="1" spans="1:29">
      <c r="A6" s="129">
        <v>1</v>
      </c>
      <c r="B6" s="130" t="s">
        <v>785</v>
      </c>
      <c r="C6" s="771">
        <f t="shared" ref="C6:V6" si="0">SUM(C7:C10)</f>
        <v>0</v>
      </c>
      <c r="D6" s="771">
        <f t="shared" si="0"/>
        <v>39737.25</v>
      </c>
      <c r="E6" s="771">
        <f t="shared" si="0"/>
        <v>39339.8775</v>
      </c>
      <c r="F6" s="771">
        <f t="shared" si="0"/>
        <v>39180.9285</v>
      </c>
      <c r="G6" s="771">
        <f t="shared" si="0"/>
        <v>39021.9795</v>
      </c>
      <c r="H6" s="771">
        <f t="shared" si="0"/>
        <v>38863.0305</v>
      </c>
      <c r="I6" s="771">
        <f t="shared" si="0"/>
        <v>38704.0815</v>
      </c>
      <c r="J6" s="771">
        <f t="shared" si="0"/>
        <v>38545.1325</v>
      </c>
      <c r="K6" s="771">
        <f t="shared" si="0"/>
        <v>38386.1835</v>
      </c>
      <c r="L6" s="771">
        <f t="shared" si="0"/>
        <v>38227.2345</v>
      </c>
      <c r="M6" s="771">
        <f t="shared" si="0"/>
        <v>38068.2855</v>
      </c>
      <c r="N6" s="771">
        <f t="shared" si="0"/>
        <v>37909.3365</v>
      </c>
      <c r="O6" s="771">
        <f t="shared" si="0"/>
        <v>37750.3875</v>
      </c>
      <c r="P6" s="771">
        <f t="shared" si="0"/>
        <v>37591.4385</v>
      </c>
      <c r="Q6" s="771">
        <f t="shared" si="0"/>
        <v>37432.4895</v>
      </c>
      <c r="R6" s="771">
        <f t="shared" si="0"/>
        <v>37273.5405</v>
      </c>
      <c r="S6" s="771">
        <f t="shared" si="0"/>
        <v>37114.5915</v>
      </c>
      <c r="T6" s="771">
        <f t="shared" si="0"/>
        <v>36955.6425</v>
      </c>
      <c r="U6" s="771">
        <f t="shared" si="0"/>
        <v>36796.6935</v>
      </c>
      <c r="V6" s="771">
        <f t="shared" si="0"/>
        <v>36637.7445</v>
      </c>
      <c r="W6" s="771">
        <f t="shared" ref="W6:AC6" si="1">SUM(W7:W10)</f>
        <v>36478.7955</v>
      </c>
      <c r="X6" s="771">
        <f t="shared" si="1"/>
        <v>36319.8465</v>
      </c>
      <c r="Y6" s="771">
        <f t="shared" si="1"/>
        <v>36160.8975</v>
      </c>
      <c r="Z6" s="771">
        <f t="shared" si="1"/>
        <v>36001.9485</v>
      </c>
      <c r="AA6" s="771">
        <f t="shared" si="1"/>
        <v>35842.9995</v>
      </c>
      <c r="AB6" s="771">
        <f t="shared" si="1"/>
        <v>35684.0505</v>
      </c>
      <c r="AC6" s="771">
        <f t="shared" si="1"/>
        <v>0</v>
      </c>
    </row>
    <row r="7" ht="21" customHeight="1" spans="1:29">
      <c r="A7" s="42">
        <v>1.1</v>
      </c>
      <c r="B7" s="91" t="s">
        <v>764</v>
      </c>
      <c r="C7" s="40">
        <f>损益表!D6</f>
        <v>0</v>
      </c>
      <c r="D7" s="40">
        <f>销售收入!E6</f>
        <v>39737.25</v>
      </c>
      <c r="E7" s="40">
        <f>销售收入!F6</f>
        <v>39339.8775</v>
      </c>
      <c r="F7" s="40">
        <f>销售收入!G6</f>
        <v>39180.9285</v>
      </c>
      <c r="G7" s="40">
        <f>销售收入!H6</f>
        <v>39021.9795</v>
      </c>
      <c r="H7" s="40">
        <f>销售收入!I6</f>
        <v>38863.0305</v>
      </c>
      <c r="I7" s="40">
        <f>销售收入!J6</f>
        <v>38704.0815</v>
      </c>
      <c r="J7" s="40">
        <f>销售收入!K6</f>
        <v>38545.1325</v>
      </c>
      <c r="K7" s="40">
        <f>销售收入!L6</f>
        <v>38386.1835</v>
      </c>
      <c r="L7" s="40">
        <f>销售收入!M6</f>
        <v>38227.2345</v>
      </c>
      <c r="M7" s="40">
        <f>销售收入!N6</f>
        <v>38068.2855</v>
      </c>
      <c r="N7" s="40">
        <f>销售收入!O6</f>
        <v>37909.3365</v>
      </c>
      <c r="O7" s="40">
        <f>销售收入!P6</f>
        <v>37750.3875</v>
      </c>
      <c r="P7" s="40">
        <f>销售收入!Q6</f>
        <v>37591.4385</v>
      </c>
      <c r="Q7" s="40">
        <f>销售收入!R6</f>
        <v>37432.4895</v>
      </c>
      <c r="R7" s="40">
        <f>销售收入!S6</f>
        <v>37273.5405</v>
      </c>
      <c r="S7" s="40">
        <f>销售收入!T6</f>
        <v>37114.5915</v>
      </c>
      <c r="T7" s="40">
        <f>销售收入!U6</f>
        <v>36955.6425</v>
      </c>
      <c r="U7" s="40">
        <f>销售收入!V6</f>
        <v>36796.6935</v>
      </c>
      <c r="V7" s="40">
        <f>销售收入!W6</f>
        <v>36637.7445</v>
      </c>
      <c r="W7" s="40">
        <f>销售收入!X6</f>
        <v>36478.7955</v>
      </c>
      <c r="X7" s="40">
        <f>销售收入!Y6</f>
        <v>36319.8465</v>
      </c>
      <c r="Y7" s="40">
        <f>销售收入!Z6</f>
        <v>36160.8975</v>
      </c>
      <c r="Z7" s="40">
        <f>销售收入!AA6</f>
        <v>36001.9485</v>
      </c>
      <c r="AA7" s="40">
        <f>销售收入!AB6</f>
        <v>35842.9995</v>
      </c>
      <c r="AB7" s="40">
        <f>销售收入!AC6</f>
        <v>35684.0505</v>
      </c>
      <c r="AC7" s="40">
        <f>销售收入!AD6</f>
        <v>0</v>
      </c>
    </row>
    <row r="8" ht="21" customHeight="1" spans="1:29">
      <c r="A8" s="42">
        <v>1.2</v>
      </c>
      <c r="B8" s="112" t="s">
        <v>786</v>
      </c>
      <c r="C8" s="40"/>
      <c r="D8" s="40">
        <f>销售收入!E40</f>
        <v>0</v>
      </c>
      <c r="E8" s="40">
        <f>销售收入!F40</f>
        <v>0</v>
      </c>
      <c r="F8" s="40">
        <f>销售收入!G40</f>
        <v>0</v>
      </c>
      <c r="G8" s="40">
        <f>销售收入!H40</f>
        <v>0</v>
      </c>
      <c r="H8" s="40">
        <f>销售收入!I40</f>
        <v>0</v>
      </c>
      <c r="I8" s="40">
        <f>销售收入!J40</f>
        <v>0</v>
      </c>
      <c r="J8" s="40">
        <f>销售收入!K40</f>
        <v>0</v>
      </c>
      <c r="K8" s="40">
        <f>销售收入!L40</f>
        <v>0</v>
      </c>
      <c r="L8" s="40">
        <f>销售收入!M40</f>
        <v>0</v>
      </c>
      <c r="M8" s="40">
        <f>销售收入!N40</f>
        <v>0</v>
      </c>
      <c r="N8" s="40">
        <f>销售收入!O40</f>
        <v>0</v>
      </c>
      <c r="O8" s="40">
        <f>销售收入!P40</f>
        <v>0</v>
      </c>
      <c r="P8" s="40">
        <f>销售收入!Q40</f>
        <v>0</v>
      </c>
      <c r="Q8" s="40">
        <f>销售收入!R40</f>
        <v>0</v>
      </c>
      <c r="R8" s="40">
        <f>销售收入!S40</f>
        <v>0</v>
      </c>
      <c r="S8" s="40">
        <f>销售收入!T40</f>
        <v>0</v>
      </c>
      <c r="T8" s="40">
        <f>销售收入!U40</f>
        <v>0</v>
      </c>
      <c r="U8" s="40">
        <f>销售收入!V40</f>
        <v>0</v>
      </c>
      <c r="V8" s="40">
        <f>销售收入!W40</f>
        <v>0</v>
      </c>
      <c r="W8" s="40">
        <f>销售收入!X40</f>
        <v>0</v>
      </c>
      <c r="X8" s="40">
        <f>销售收入!Y40</f>
        <v>0</v>
      </c>
      <c r="Y8" s="40">
        <f>销售收入!Z40</f>
        <v>0</v>
      </c>
      <c r="Z8" s="40">
        <f>销售收入!AA40</f>
        <v>0</v>
      </c>
      <c r="AA8" s="40">
        <f>销售收入!AB40</f>
        <v>0</v>
      </c>
      <c r="AB8" s="40">
        <f>销售收入!AC40</f>
        <v>0</v>
      </c>
      <c r="AC8" s="40">
        <f>销售收入!AD40</f>
        <v>0</v>
      </c>
    </row>
    <row r="9" ht="21" customHeight="1" spans="1:29">
      <c r="A9" s="42">
        <v>1.3</v>
      </c>
      <c r="B9" s="91" t="s">
        <v>766</v>
      </c>
      <c r="C9" s="40"/>
      <c r="D9" s="40"/>
      <c r="E9" s="40"/>
      <c r="F9" s="772"/>
      <c r="G9" s="40">
        <f>F9</f>
        <v>0</v>
      </c>
      <c r="H9" s="40">
        <f t="shared" ref="H9:Q9" si="2">G9</f>
        <v>0</v>
      </c>
      <c r="I9" s="40">
        <f t="shared" si="2"/>
        <v>0</v>
      </c>
      <c r="J9" s="40">
        <f t="shared" si="2"/>
        <v>0</v>
      </c>
      <c r="K9" s="40">
        <f t="shared" si="2"/>
        <v>0</v>
      </c>
      <c r="L9" s="40">
        <f t="shared" si="2"/>
        <v>0</v>
      </c>
      <c r="M9" s="40">
        <f t="shared" si="2"/>
        <v>0</v>
      </c>
      <c r="N9" s="40">
        <f t="shared" si="2"/>
        <v>0</v>
      </c>
      <c r="O9" s="40">
        <f t="shared" si="2"/>
        <v>0</v>
      </c>
      <c r="P9" s="40">
        <f t="shared" si="2"/>
        <v>0</v>
      </c>
      <c r="Q9" s="40">
        <f t="shared" si="2"/>
        <v>0</v>
      </c>
      <c r="R9" s="40"/>
      <c r="S9" s="40">
        <f>R9</f>
        <v>0</v>
      </c>
      <c r="T9" s="40"/>
      <c r="U9" s="40">
        <f>T9</f>
        <v>0</v>
      </c>
      <c r="V9" s="40"/>
      <c r="W9" s="40"/>
      <c r="X9" s="40"/>
      <c r="Y9" s="40"/>
      <c r="Z9" s="40"/>
      <c r="AA9" s="40"/>
      <c r="AB9" s="40"/>
      <c r="AC9" s="40"/>
    </row>
    <row r="10" ht="21" customHeight="1" spans="1:29">
      <c r="A10" s="42">
        <v>1.4</v>
      </c>
      <c r="B10" s="91" t="s">
        <v>767</v>
      </c>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row>
    <row r="11" ht="21" customHeight="1" spans="1:29">
      <c r="A11" s="129">
        <v>2</v>
      </c>
      <c r="B11" s="130" t="s">
        <v>787</v>
      </c>
      <c r="C11" s="771">
        <f>SUM(C12:C17)</f>
        <v>81434.2071433639</v>
      </c>
      <c r="D11" s="771">
        <f t="shared" ref="D11:AC11" si="3">SUM(D12:D18)</f>
        <v>23522.2019308319</v>
      </c>
      <c r="E11" s="771">
        <f t="shared" si="3"/>
        <v>23075.2838837043</v>
      </c>
      <c r="F11" s="771">
        <f t="shared" si="3"/>
        <v>22642.5540104252</v>
      </c>
      <c r="G11" s="771">
        <f t="shared" si="3"/>
        <v>22209.8261147203</v>
      </c>
      <c r="H11" s="771">
        <f t="shared" si="3"/>
        <v>21777.1001985673</v>
      </c>
      <c r="I11" s="771">
        <f t="shared" si="3"/>
        <v>21597.5012532329</v>
      </c>
      <c r="J11" s="771">
        <f t="shared" si="3"/>
        <v>21164.7793021241</v>
      </c>
      <c r="K11" s="771">
        <f t="shared" si="3"/>
        <v>20732.0593365117</v>
      </c>
      <c r="L11" s="771">
        <f t="shared" si="3"/>
        <v>20299.3413583811</v>
      </c>
      <c r="M11" s="771">
        <f t="shared" si="3"/>
        <v>21917.7124256066</v>
      </c>
      <c r="N11" s="771">
        <f t="shared" si="3"/>
        <v>21740.1874184831</v>
      </c>
      <c r="O11" s="771">
        <f t="shared" si="3"/>
        <v>21334.8517151062</v>
      </c>
      <c r="P11" s="771">
        <f t="shared" si="3"/>
        <v>20929.5178076288</v>
      </c>
      <c r="Q11" s="771">
        <f t="shared" si="3"/>
        <v>20524.1856978466</v>
      </c>
      <c r="R11" s="771">
        <f t="shared" si="3"/>
        <v>20118.8553875574</v>
      </c>
      <c r="S11" s="771">
        <f t="shared" si="3"/>
        <v>7507.12936884047</v>
      </c>
      <c r="T11" s="771">
        <f t="shared" si="3"/>
        <v>7484.52764673991</v>
      </c>
      <c r="U11" s="771">
        <f t="shared" si="3"/>
        <v>7461.92772953621</v>
      </c>
      <c r="V11" s="771">
        <f t="shared" si="3"/>
        <v>7439.32961903425</v>
      </c>
      <c r="W11" s="771">
        <f t="shared" si="3"/>
        <v>7416.73331704074</v>
      </c>
      <c r="X11" s="771">
        <f t="shared" si="3"/>
        <v>9090.07625358923</v>
      </c>
      <c r="Y11" s="771">
        <f t="shared" si="3"/>
        <v>9067.48357403995</v>
      </c>
      <c r="Z11" s="771">
        <f t="shared" si="3"/>
        <v>9044.89270843007</v>
      </c>
      <c r="AA11" s="771">
        <f t="shared" si="3"/>
        <v>9022.30365857353</v>
      </c>
      <c r="AB11" s="771">
        <f t="shared" si="3"/>
        <v>8999.71642628609</v>
      </c>
      <c r="AC11" s="771">
        <f t="shared" si="3"/>
        <v>147.554189999998</v>
      </c>
    </row>
    <row r="12" ht="21" customHeight="1" spans="1:29">
      <c r="A12" s="42">
        <v>2.1</v>
      </c>
      <c r="B12" s="91" t="s">
        <v>788</v>
      </c>
      <c r="C12" s="40">
        <f>资金筹措!C12</f>
        <v>81434.2071433639</v>
      </c>
      <c r="D12" s="40">
        <f>资金筹措!D12</f>
        <v>0</v>
      </c>
      <c r="E12" s="40">
        <f>资金筹措!E12</f>
        <v>0</v>
      </c>
      <c r="F12" s="40"/>
      <c r="G12" s="40"/>
      <c r="H12" s="40"/>
      <c r="I12" s="40"/>
      <c r="J12" s="40"/>
      <c r="K12" s="40"/>
      <c r="L12" s="40"/>
      <c r="M12" s="40"/>
      <c r="N12" s="40"/>
      <c r="O12" s="40"/>
      <c r="P12" s="40"/>
      <c r="Q12" s="40"/>
      <c r="R12" s="40"/>
      <c r="S12" s="40"/>
      <c r="T12" s="40"/>
      <c r="U12" s="40"/>
      <c r="V12" s="40"/>
      <c r="W12" s="40"/>
      <c r="X12" s="40"/>
      <c r="Y12" s="40"/>
      <c r="Z12" s="40"/>
      <c r="AA12" s="40"/>
      <c r="AB12" s="40"/>
      <c r="AC12" s="40"/>
    </row>
    <row r="13" ht="21" customHeight="1" spans="1:29">
      <c r="A13" s="42">
        <v>2.4</v>
      </c>
      <c r="B13" s="91" t="s">
        <v>789</v>
      </c>
      <c r="C13" s="40"/>
      <c r="D13" s="40">
        <f>还本付息!E16</f>
        <v>12434.2100000788</v>
      </c>
      <c r="E13" s="40">
        <f>还本付息!F16</f>
        <v>12434.2100000788</v>
      </c>
      <c r="F13" s="40">
        <f>还本付息!G16</f>
        <v>12434.2100000788</v>
      </c>
      <c r="G13" s="40">
        <f>还本付息!H16</f>
        <v>12434.2100000788</v>
      </c>
      <c r="H13" s="40">
        <f>还本付息!I16</f>
        <v>12434.2100000788</v>
      </c>
      <c r="I13" s="40">
        <f>还本付息!J16</f>
        <v>12434.2100000788</v>
      </c>
      <c r="J13" s="40">
        <f>还本付息!K16</f>
        <v>12434.2100000788</v>
      </c>
      <c r="K13" s="40">
        <f>还本付息!L16</f>
        <v>12434.2100000788</v>
      </c>
      <c r="L13" s="40">
        <f>还本付息!M16</f>
        <v>12434.2100000788</v>
      </c>
      <c r="M13" s="40">
        <f>还本付息!N16</f>
        <v>12434.2100000788</v>
      </c>
      <c r="N13" s="40">
        <f>还本付息!O16</f>
        <v>12434.2100000788</v>
      </c>
      <c r="O13" s="40">
        <f>还本付息!P16</f>
        <v>12434.2100000788</v>
      </c>
      <c r="P13" s="40">
        <f>还本付息!Q16</f>
        <v>12434.2100000788</v>
      </c>
      <c r="Q13" s="40">
        <f>还本付息!R16</f>
        <v>12434.2100000788</v>
      </c>
      <c r="R13" s="40">
        <f>还本付息!S16</f>
        <v>12434.2100000788</v>
      </c>
      <c r="S13" s="40">
        <f>还本付息!T16</f>
        <v>0</v>
      </c>
      <c r="T13" s="40">
        <f>还本付息!U16</f>
        <v>0</v>
      </c>
      <c r="U13" s="40">
        <f>还本付息!V16</f>
        <v>0</v>
      </c>
      <c r="V13" s="40">
        <f>还本付息!W16</f>
        <v>0</v>
      </c>
      <c r="W13" s="40">
        <f>还本付息!X16</f>
        <v>0</v>
      </c>
      <c r="X13" s="40">
        <f>还本付息!Y16</f>
        <v>0</v>
      </c>
      <c r="Y13" s="40">
        <f>还本付息!Z16</f>
        <v>0</v>
      </c>
      <c r="Z13" s="40">
        <f>还本付息!AA16</f>
        <v>0</v>
      </c>
      <c r="AA13" s="40">
        <f>还本付息!AB16</f>
        <v>0</v>
      </c>
      <c r="AB13" s="40">
        <f>还本付息!AC16</f>
        <v>0</v>
      </c>
      <c r="AC13" s="40">
        <f>还本付息!AD16</f>
        <v>0</v>
      </c>
    </row>
    <row r="14" ht="21" customHeight="1" spans="1:29">
      <c r="A14" s="42">
        <v>2.5</v>
      </c>
      <c r="B14" s="91" t="s">
        <v>790</v>
      </c>
      <c r="C14" s="40"/>
      <c r="D14" s="40">
        <f>还本付息!E17</f>
        <v>6714.47340004257</v>
      </c>
      <c r="E14" s="40">
        <f>还本付息!F17</f>
        <v>6266.84184003973</v>
      </c>
      <c r="F14" s="40">
        <f>还本付息!G17</f>
        <v>5819.21028003689</v>
      </c>
      <c r="G14" s="40">
        <f>还本付息!H17</f>
        <v>5371.57872003405</v>
      </c>
      <c r="H14" s="40">
        <f>还本付息!I17</f>
        <v>4923.94716003121</v>
      </c>
      <c r="I14" s="40">
        <f>还本付息!J17</f>
        <v>4476.31560002838</v>
      </c>
      <c r="J14" s="40">
        <f>还本付息!K17</f>
        <v>4028.68404002554</v>
      </c>
      <c r="K14" s="40">
        <f>还本付息!L17</f>
        <v>3581.0524800227</v>
      </c>
      <c r="L14" s="40">
        <f>还本付息!M17</f>
        <v>3133.42092001986</v>
      </c>
      <c r="M14" s="40">
        <f>还本付息!N17</f>
        <v>2685.78936001703</v>
      </c>
      <c r="N14" s="40">
        <f>还本付息!O17</f>
        <v>2238.15780001419</v>
      </c>
      <c r="O14" s="40">
        <f>还本付息!P17</f>
        <v>1790.52624001135</v>
      </c>
      <c r="P14" s="40">
        <f>还本付息!Q17</f>
        <v>1342.89468000851</v>
      </c>
      <c r="Q14" s="40">
        <f>还本付息!R17</f>
        <v>895.263120005674</v>
      </c>
      <c r="R14" s="40">
        <f>还本付息!S17</f>
        <v>447.631560002836</v>
      </c>
      <c r="S14" s="40">
        <f>还本付息!T17</f>
        <v>-1.70257408171892e-12</v>
      </c>
      <c r="T14" s="40">
        <f>还本付息!U17</f>
        <v>-1.70257408171892e-12</v>
      </c>
      <c r="U14" s="40">
        <f>还本付息!V17</f>
        <v>-1.70257408171892e-12</v>
      </c>
      <c r="V14" s="40">
        <f>还本付息!W17</f>
        <v>-1.70257408171892e-12</v>
      </c>
      <c r="W14" s="40">
        <f>还本付息!X17</f>
        <v>-1.70257408171892e-12</v>
      </c>
      <c r="X14" s="40">
        <f>还本付息!Y17</f>
        <v>-1.70257408171892e-12</v>
      </c>
      <c r="Y14" s="40">
        <f>还本付息!Z17</f>
        <v>-1.70257408171892e-12</v>
      </c>
      <c r="Z14" s="40">
        <f>还本付息!AA17</f>
        <v>-1.70257408171892e-12</v>
      </c>
      <c r="AA14" s="40">
        <f>还本付息!AB17</f>
        <v>-1.70257408171892e-12</v>
      </c>
      <c r="AB14" s="40">
        <f>还本付息!AC17</f>
        <v>-1.70257408171892e-12</v>
      </c>
      <c r="AC14" s="40">
        <f>还本付息!AD17</f>
        <v>-1.70257408171892e-12</v>
      </c>
    </row>
    <row r="15" ht="21" customHeight="1" spans="1:29">
      <c r="A15" s="42">
        <v>2.6</v>
      </c>
      <c r="B15" s="91" t="s">
        <v>770</v>
      </c>
      <c r="C15" s="40">
        <f>总成本!D17</f>
        <v>0</v>
      </c>
      <c r="D15" s="40">
        <f>总成本!E17</f>
        <v>3001.18505714455</v>
      </c>
      <c r="E15" s="40">
        <f>总成本!F17</f>
        <v>3003.26463464455</v>
      </c>
      <c r="F15" s="40">
        <f>总成本!G17</f>
        <v>3005.34629172205</v>
      </c>
      <c r="G15" s="40">
        <f>总成本!H17</f>
        <v>3007.43003045662</v>
      </c>
      <c r="H15" s="40">
        <f>总成本!I17</f>
        <v>3009.51585292993</v>
      </c>
      <c r="I15" s="40">
        <f>总成本!J17</f>
        <v>3278.05111837027</v>
      </c>
      <c r="J15" s="40">
        <f>总成本!K17</f>
        <v>3280.14111457435</v>
      </c>
      <c r="K15" s="40">
        <f>总成本!L17</f>
        <v>3282.23320077463</v>
      </c>
      <c r="L15" s="40">
        <f>总成本!M17</f>
        <v>3284.32737906112</v>
      </c>
      <c r="M15" s="40">
        <f>总成本!N17</f>
        <v>3286.42365152589</v>
      </c>
      <c r="N15" s="40">
        <f>总成本!O17</f>
        <v>3554.96937740767</v>
      </c>
      <c r="O15" s="40">
        <f>总成本!P17</f>
        <v>3557.06984451365</v>
      </c>
      <c r="P15" s="40">
        <f>总成本!Q17</f>
        <v>3559.17241208673</v>
      </c>
      <c r="Q15" s="40">
        <f>总成本!R17</f>
        <v>3561.27708222738</v>
      </c>
      <c r="R15" s="40">
        <f>总成本!S17</f>
        <v>3563.38385703817</v>
      </c>
      <c r="S15" s="40">
        <f>总成本!T17</f>
        <v>3831.94009576832</v>
      </c>
      <c r="T15" s="40">
        <f>总成本!U17</f>
        <v>3834.05108623551</v>
      </c>
      <c r="U15" s="40">
        <f>总成本!V17</f>
        <v>3836.16418769317</v>
      </c>
      <c r="V15" s="40">
        <f>总成本!W17</f>
        <v>3838.27940225229</v>
      </c>
      <c r="W15" s="40">
        <f>总成本!X17</f>
        <v>3840.39673202596</v>
      </c>
      <c r="X15" s="40">
        <f>总成本!Y17</f>
        <v>4108.96353627395</v>
      </c>
      <c r="Y15" s="40">
        <f>总成本!Z17</f>
        <v>4111.0851028245</v>
      </c>
      <c r="Z15" s="40">
        <f>总成本!AA17</f>
        <v>4113.20879094161</v>
      </c>
      <c r="AA15" s="40">
        <f>总成本!AB17</f>
        <v>4115.33460274682</v>
      </c>
      <c r="AB15" s="40">
        <f>总成本!AC17</f>
        <v>4117.46254036385</v>
      </c>
      <c r="AC15" s="40">
        <f>总成本!AD17</f>
        <v>155.3202</v>
      </c>
    </row>
    <row r="16" ht="21" customHeight="1" spans="1:29">
      <c r="A16" s="42">
        <v>2.7</v>
      </c>
      <c r="B16" s="91" t="s">
        <v>730</v>
      </c>
      <c r="C16" s="40">
        <f>损益表!D8</f>
        <v>0</v>
      </c>
      <c r="D16" s="40">
        <f>损益表!E8</f>
        <v>397.3725</v>
      </c>
      <c r="E16" s="40">
        <f>损益表!F8</f>
        <v>393.398775</v>
      </c>
      <c r="F16" s="40">
        <f>损益表!G8</f>
        <v>391.809285</v>
      </c>
      <c r="G16" s="40">
        <f>损益表!H8</f>
        <v>390.219795</v>
      </c>
      <c r="H16" s="40">
        <f>损益表!I8</f>
        <v>388.630305</v>
      </c>
      <c r="I16" s="40">
        <f>损益表!J8</f>
        <v>387.040815</v>
      </c>
      <c r="J16" s="40">
        <f>损益表!K8</f>
        <v>385.451325</v>
      </c>
      <c r="K16" s="40">
        <f>损益表!L8</f>
        <v>383.861835</v>
      </c>
      <c r="L16" s="40">
        <f>损益表!M8</f>
        <v>382.272345</v>
      </c>
      <c r="M16" s="40">
        <f>损益表!N8</f>
        <v>380.682855</v>
      </c>
      <c r="N16" s="40">
        <f>损益表!O8</f>
        <v>379.093365</v>
      </c>
      <c r="O16" s="40">
        <f>损益表!P8</f>
        <v>377.503875</v>
      </c>
      <c r="P16" s="40">
        <f>损益表!Q8</f>
        <v>375.914385</v>
      </c>
      <c r="Q16" s="40">
        <f>损益表!R8</f>
        <v>374.324895</v>
      </c>
      <c r="R16" s="40">
        <f>损益表!S8</f>
        <v>372.735405</v>
      </c>
      <c r="S16" s="40">
        <f>损益表!T8</f>
        <v>371.145915</v>
      </c>
      <c r="T16" s="40">
        <f>损益表!U8</f>
        <v>369.556425</v>
      </c>
      <c r="U16" s="40">
        <f>损益表!V8</f>
        <v>367.966935</v>
      </c>
      <c r="V16" s="40">
        <f>损益表!W8</f>
        <v>366.377445</v>
      </c>
      <c r="W16" s="40">
        <f>损益表!X8</f>
        <v>364.787955</v>
      </c>
      <c r="X16" s="40">
        <f>损益表!Y8</f>
        <v>363.198465</v>
      </c>
      <c r="Y16" s="40">
        <f>损益表!Z8</f>
        <v>361.608975</v>
      </c>
      <c r="Z16" s="40">
        <f>损益表!AA8</f>
        <v>360.019485</v>
      </c>
      <c r="AA16" s="40">
        <f>损益表!AB8</f>
        <v>358.429995</v>
      </c>
      <c r="AB16" s="40">
        <f>损益表!AC8</f>
        <v>356.840505</v>
      </c>
      <c r="AC16" s="40">
        <f>损益表!AD8</f>
        <v>0</v>
      </c>
    </row>
    <row r="17" ht="21" customHeight="1" spans="1:29">
      <c r="A17" s="42">
        <v>2.8</v>
      </c>
      <c r="B17" s="91" t="s">
        <v>791</v>
      </c>
      <c r="C17" s="40">
        <f>损益表!D13</f>
        <v>0</v>
      </c>
      <c r="D17" s="40">
        <f>损益表!E13</f>
        <v>0</v>
      </c>
      <c r="E17" s="40">
        <f>损益表!F13</f>
        <v>0</v>
      </c>
      <c r="F17" s="40">
        <f>损益表!G13</f>
        <v>0</v>
      </c>
      <c r="G17" s="40">
        <f>损益表!H13</f>
        <v>0</v>
      </c>
      <c r="H17" s="40">
        <f>损益表!I13</f>
        <v>0</v>
      </c>
      <c r="I17" s="40">
        <f>损益表!J13</f>
        <v>0</v>
      </c>
      <c r="J17" s="40">
        <f>损益表!K13</f>
        <v>0</v>
      </c>
      <c r="K17" s="40">
        <f>损益表!L13</f>
        <v>0</v>
      </c>
      <c r="L17" s="40">
        <f>损益表!M13</f>
        <v>0</v>
      </c>
      <c r="M17" s="40">
        <f>损益表!N13</f>
        <v>2159.03900619643</v>
      </c>
      <c r="N17" s="40">
        <f>损益表!O13</f>
        <v>2161.21163860854</v>
      </c>
      <c r="O17" s="40">
        <f>损益表!P13</f>
        <v>2190.02879689822</v>
      </c>
      <c r="P17" s="40">
        <f>损益表!Q13</f>
        <v>2218.8457451412</v>
      </c>
      <c r="Q17" s="40">
        <f>损益表!R13</f>
        <v>2247.66248312742</v>
      </c>
      <c r="R17" s="40">
        <f>损益表!S13</f>
        <v>2276.47901064662</v>
      </c>
      <c r="S17" s="40">
        <f>损益表!T13</f>
        <v>2278.65059177389</v>
      </c>
      <c r="T17" s="40">
        <f>损益表!U13</f>
        <v>2262.70354172717</v>
      </c>
      <c r="U17" s="40">
        <f>损益表!V13</f>
        <v>2246.75628058141</v>
      </c>
      <c r="V17" s="40">
        <f>损益表!W13</f>
        <v>2230.8088081255</v>
      </c>
      <c r="W17" s="40">
        <f>损益表!X13</f>
        <v>2214.86112414813</v>
      </c>
      <c r="X17" s="40">
        <f>损益表!Y13</f>
        <v>3184.7684498726</v>
      </c>
      <c r="Y17" s="40">
        <f>损益表!Z13</f>
        <v>3168.82034221755</v>
      </c>
      <c r="Z17" s="40">
        <f>损益表!AA13</f>
        <v>3152.87202240584</v>
      </c>
      <c r="AA17" s="40">
        <f>损益表!AB13</f>
        <v>3136.92349022532</v>
      </c>
      <c r="AB17" s="40">
        <f>损益表!AC13</f>
        <v>3120.97474546362</v>
      </c>
      <c r="AC17" s="40">
        <f>损益表!AD13</f>
        <v>0</v>
      </c>
    </row>
    <row r="18" ht="21" customHeight="1" spans="1:29">
      <c r="A18" s="42">
        <v>2.9</v>
      </c>
      <c r="B18" s="773" t="s">
        <v>792</v>
      </c>
      <c r="C18" s="40"/>
      <c r="D18" s="40">
        <f>损益表!E19</f>
        <v>974.960973566006</v>
      </c>
      <c r="E18" s="40">
        <f>损益表!F19</f>
        <v>977.568633941148</v>
      </c>
      <c r="F18" s="40">
        <f>损益表!G19</f>
        <v>991.978153587415</v>
      </c>
      <c r="G18" s="40">
        <f>损益表!H19</f>
        <v>1006.38756915083</v>
      </c>
      <c r="H18" s="40">
        <f>损益表!I19</f>
        <v>1020.7968805273</v>
      </c>
      <c r="I18" s="40">
        <f>损益表!J19</f>
        <v>1021.88371975543</v>
      </c>
      <c r="J18" s="40">
        <f>损益表!K19</f>
        <v>1036.29282244537</v>
      </c>
      <c r="K18" s="40">
        <f>损益表!L19</f>
        <v>1050.7018206355</v>
      </c>
      <c r="L18" s="40">
        <f>损益表!M19</f>
        <v>1065.11071422131</v>
      </c>
      <c r="M18" s="40">
        <f>损益表!N19</f>
        <v>971.567552788395</v>
      </c>
      <c r="N18" s="40">
        <f>损益表!O19</f>
        <v>972.545237373842</v>
      </c>
      <c r="O18" s="40">
        <f>损益表!P19</f>
        <v>985.512958604201</v>
      </c>
      <c r="P18" s="40">
        <f>损益表!Q19</f>
        <v>998.48058531354</v>
      </c>
      <c r="Q18" s="40">
        <f>损益表!R19</f>
        <v>1011.44811740734</v>
      </c>
      <c r="R18" s="40">
        <f>损益表!S19</f>
        <v>1024.41555479098</v>
      </c>
      <c r="S18" s="40">
        <f>损益表!T19</f>
        <v>1025.39276629825</v>
      </c>
      <c r="T18" s="40">
        <f>损益表!U19</f>
        <v>1018.21659377723</v>
      </c>
      <c r="U18" s="40">
        <f>损益表!V19</f>
        <v>1011.04032626163</v>
      </c>
      <c r="V18" s="40">
        <f>损益表!W19</f>
        <v>1003.86396365647</v>
      </c>
      <c r="W18" s="40">
        <f>损益表!X19</f>
        <v>996.687505866658</v>
      </c>
      <c r="X18" s="40">
        <f>损益表!Y19</f>
        <v>1433.14580244267</v>
      </c>
      <c r="Y18" s="40">
        <f>损益表!Z19</f>
        <v>1425.9691539979</v>
      </c>
      <c r="Z18" s="40">
        <f>损益表!AA19</f>
        <v>1418.79241008263</v>
      </c>
      <c r="AA18" s="40">
        <f>损益表!AB19</f>
        <v>1411.61557060139</v>
      </c>
      <c r="AB18" s="40">
        <f>损益表!AC19</f>
        <v>1404.43863545863</v>
      </c>
      <c r="AC18" s="40">
        <f>损益表!AD19</f>
        <v>-7.76600999999992</v>
      </c>
    </row>
    <row r="19" ht="21" customHeight="1" spans="1:29">
      <c r="A19" s="42">
        <v>3</v>
      </c>
      <c r="B19" s="774" t="s">
        <v>793</v>
      </c>
      <c r="C19" s="40">
        <f>C6-C11</f>
        <v>-81434.2071433639</v>
      </c>
      <c r="D19" s="40">
        <f t="shared" ref="D19:AC19" si="4">D21+D17+D18</f>
        <v>17190.0090427341</v>
      </c>
      <c r="E19" s="40">
        <f t="shared" si="4"/>
        <v>17242.1622502369</v>
      </c>
      <c r="F19" s="40">
        <f t="shared" si="4"/>
        <v>17530.3526431622</v>
      </c>
      <c r="G19" s="40">
        <f t="shared" si="4"/>
        <v>17818.5409544305</v>
      </c>
      <c r="H19" s="40">
        <f t="shared" si="4"/>
        <v>18106.72718196</v>
      </c>
      <c r="I19" s="40">
        <f t="shared" si="4"/>
        <v>18128.4639665225</v>
      </c>
      <c r="J19" s="40">
        <f t="shared" si="4"/>
        <v>18416.6460203213</v>
      </c>
      <c r="K19" s="40">
        <f t="shared" si="4"/>
        <v>18704.8259841238</v>
      </c>
      <c r="L19" s="40">
        <f t="shared" si="4"/>
        <v>18993.0038558402</v>
      </c>
      <c r="M19" s="40">
        <f t="shared" si="4"/>
        <v>19281.1796333783</v>
      </c>
      <c r="N19" s="40">
        <f t="shared" si="4"/>
        <v>19302.9059574993</v>
      </c>
      <c r="O19" s="40">
        <f t="shared" si="4"/>
        <v>19591.0775403962</v>
      </c>
      <c r="P19" s="40">
        <f t="shared" si="4"/>
        <v>19879.2470228259</v>
      </c>
      <c r="Q19" s="40">
        <f t="shared" si="4"/>
        <v>20167.4144026881</v>
      </c>
      <c r="R19" s="40">
        <f t="shared" si="4"/>
        <v>20455.5796778802</v>
      </c>
      <c r="S19" s="40">
        <f t="shared" si="4"/>
        <v>32911.5054892317</v>
      </c>
      <c r="T19" s="40">
        <f t="shared" si="4"/>
        <v>32752.0349887645</v>
      </c>
      <c r="U19" s="40">
        <f t="shared" si="4"/>
        <v>32592.5623773068</v>
      </c>
      <c r="V19" s="40">
        <f t="shared" si="4"/>
        <v>32433.0876527477</v>
      </c>
      <c r="W19" s="40">
        <f t="shared" si="4"/>
        <v>32273.610812974</v>
      </c>
      <c r="X19" s="40">
        <f t="shared" si="4"/>
        <v>31847.684498726</v>
      </c>
      <c r="Y19" s="40">
        <f t="shared" si="4"/>
        <v>31688.2034221755</v>
      </c>
      <c r="Z19" s="40">
        <f t="shared" si="4"/>
        <v>31528.7202240584</v>
      </c>
      <c r="AA19" s="40">
        <f t="shared" si="4"/>
        <v>31369.2349022532</v>
      </c>
      <c r="AB19" s="40">
        <f t="shared" si="4"/>
        <v>31209.7474546362</v>
      </c>
      <c r="AC19" s="40">
        <f t="shared" si="4"/>
        <v>-155.320199999998</v>
      </c>
    </row>
    <row r="20" ht="21" customHeight="1" spans="1:29">
      <c r="A20" s="42">
        <v>4</v>
      </c>
      <c r="B20" s="774" t="s">
        <v>794</v>
      </c>
      <c r="C20" s="40">
        <f>C19</f>
        <v>-81434.2071433639</v>
      </c>
      <c r="D20" s="131">
        <f t="shared" ref="D20:AC20" si="5">IF(D19=0,0,D19+C20)</f>
        <v>-64244.1981006299</v>
      </c>
      <c r="E20" s="131">
        <f t="shared" si="5"/>
        <v>-47002.035850393</v>
      </c>
      <c r="F20" s="131">
        <f t="shared" si="5"/>
        <v>-29471.6832072307</v>
      </c>
      <c r="G20" s="131">
        <f t="shared" si="5"/>
        <v>-11653.1422528002</v>
      </c>
      <c r="H20" s="131">
        <f t="shared" si="5"/>
        <v>6453.5849291598</v>
      </c>
      <c r="I20" s="131">
        <f t="shared" si="5"/>
        <v>24582.0488956823</v>
      </c>
      <c r="J20" s="131">
        <f t="shared" si="5"/>
        <v>42998.6949160036</v>
      </c>
      <c r="K20" s="131">
        <f t="shared" si="5"/>
        <v>61703.5209001274</v>
      </c>
      <c r="L20" s="131">
        <f t="shared" si="5"/>
        <v>80696.5247559676</v>
      </c>
      <c r="M20" s="131">
        <f t="shared" si="5"/>
        <v>99977.7043893459</v>
      </c>
      <c r="N20" s="131">
        <f t="shared" si="5"/>
        <v>119280.610346845</v>
      </c>
      <c r="O20" s="131">
        <f t="shared" si="5"/>
        <v>138871.687887241</v>
      </c>
      <c r="P20" s="131">
        <f t="shared" si="5"/>
        <v>158750.934910067</v>
      </c>
      <c r="Q20" s="131">
        <f t="shared" si="5"/>
        <v>178918.349312755</v>
      </c>
      <c r="R20" s="131">
        <f t="shared" si="5"/>
        <v>199373.928990636</v>
      </c>
      <c r="S20" s="131">
        <f t="shared" si="5"/>
        <v>232285.434479867</v>
      </c>
      <c r="T20" s="131">
        <f t="shared" si="5"/>
        <v>265037.469468632</v>
      </c>
      <c r="U20" s="131">
        <f t="shared" si="5"/>
        <v>297630.031845939</v>
      </c>
      <c r="V20" s="131">
        <f t="shared" si="5"/>
        <v>330063.119498686</v>
      </c>
      <c r="W20" s="131">
        <f t="shared" si="5"/>
        <v>362336.73031166</v>
      </c>
      <c r="X20" s="131">
        <f t="shared" si="5"/>
        <v>394184.414810386</v>
      </c>
      <c r="Y20" s="131">
        <f t="shared" si="5"/>
        <v>425872.618232562</v>
      </c>
      <c r="Z20" s="131">
        <f t="shared" si="5"/>
        <v>457401.33845662</v>
      </c>
      <c r="AA20" s="131">
        <f t="shared" si="5"/>
        <v>488770.573358873</v>
      </c>
      <c r="AB20" s="131">
        <f t="shared" si="5"/>
        <v>519980.32081351</v>
      </c>
      <c r="AC20" s="131">
        <f t="shared" si="5"/>
        <v>519825.00061351</v>
      </c>
    </row>
    <row r="21" ht="21" customHeight="1" spans="1:29">
      <c r="A21" s="129">
        <v>5</v>
      </c>
      <c r="B21" s="774" t="s">
        <v>795</v>
      </c>
      <c r="C21" s="131">
        <f t="shared" ref="C21:V21" si="6">C6-C11</f>
        <v>-81434.2071433639</v>
      </c>
      <c r="D21" s="131">
        <f t="shared" si="6"/>
        <v>16215.0480691681</v>
      </c>
      <c r="E21" s="131">
        <f t="shared" si="6"/>
        <v>16264.5936162957</v>
      </c>
      <c r="F21" s="131">
        <f t="shared" si="6"/>
        <v>16538.3744895748</v>
      </c>
      <c r="G21" s="131">
        <f t="shared" si="6"/>
        <v>16812.1533852797</v>
      </c>
      <c r="H21" s="131">
        <f t="shared" si="6"/>
        <v>17085.9303014327</v>
      </c>
      <c r="I21" s="131">
        <f t="shared" si="6"/>
        <v>17106.5802467671</v>
      </c>
      <c r="J21" s="131">
        <f t="shared" si="6"/>
        <v>17380.3531978759</v>
      </c>
      <c r="K21" s="131">
        <f t="shared" si="6"/>
        <v>17654.1241634883</v>
      </c>
      <c r="L21" s="131">
        <f t="shared" si="6"/>
        <v>17927.8931416189</v>
      </c>
      <c r="M21" s="131">
        <f t="shared" si="6"/>
        <v>16150.5730743934</v>
      </c>
      <c r="N21" s="131">
        <f t="shared" si="6"/>
        <v>16169.1490815169</v>
      </c>
      <c r="O21" s="131">
        <f t="shared" si="6"/>
        <v>16415.5357848937</v>
      </c>
      <c r="P21" s="131">
        <f t="shared" si="6"/>
        <v>16661.9206923712</v>
      </c>
      <c r="Q21" s="131">
        <f t="shared" si="6"/>
        <v>16908.3038021534</v>
      </c>
      <c r="R21" s="131">
        <f t="shared" si="6"/>
        <v>17154.6851124426</v>
      </c>
      <c r="S21" s="131">
        <f t="shared" si="6"/>
        <v>29607.4621311595</v>
      </c>
      <c r="T21" s="131">
        <f t="shared" si="6"/>
        <v>29471.1148532601</v>
      </c>
      <c r="U21" s="131">
        <f t="shared" si="6"/>
        <v>29334.7657704638</v>
      </c>
      <c r="V21" s="131">
        <f t="shared" si="6"/>
        <v>29198.4148809657</v>
      </c>
      <c r="W21" s="131">
        <f t="shared" ref="W21:AC21" si="7">W6-W11</f>
        <v>29062.0621829593</v>
      </c>
      <c r="X21" s="131">
        <f t="shared" si="7"/>
        <v>27229.7702464108</v>
      </c>
      <c r="Y21" s="131">
        <f t="shared" si="7"/>
        <v>27093.41392596</v>
      </c>
      <c r="Z21" s="131">
        <f t="shared" si="7"/>
        <v>26957.0557915699</v>
      </c>
      <c r="AA21" s="131">
        <f t="shared" si="7"/>
        <v>26820.6958414265</v>
      </c>
      <c r="AB21" s="131">
        <f t="shared" si="7"/>
        <v>26684.3340737139</v>
      </c>
      <c r="AC21" s="131">
        <f t="shared" si="7"/>
        <v>-147.554189999998</v>
      </c>
    </row>
    <row r="22" ht="21" customHeight="1" spans="1:29">
      <c r="A22" s="129">
        <v>6</v>
      </c>
      <c r="B22" s="774" t="s">
        <v>796</v>
      </c>
      <c r="C22" s="131">
        <f>C21</f>
        <v>-81434.2071433639</v>
      </c>
      <c r="D22" s="131">
        <f>IF(D21=0,0,D21+C22)</f>
        <v>-65219.1590741959</v>
      </c>
      <c r="E22" s="131">
        <f t="shared" ref="E22:AC22" si="8">IF(E21=0,0,E21+D22)</f>
        <v>-48954.5654579001</v>
      </c>
      <c r="F22" s="131">
        <f t="shared" si="8"/>
        <v>-32416.1909683253</v>
      </c>
      <c r="G22" s="131">
        <f t="shared" si="8"/>
        <v>-15604.0375830456</v>
      </c>
      <c r="H22" s="131">
        <f t="shared" si="8"/>
        <v>1481.89271838709</v>
      </c>
      <c r="I22" s="131">
        <f t="shared" si="8"/>
        <v>18588.4729651542</v>
      </c>
      <c r="J22" s="131">
        <f t="shared" si="8"/>
        <v>35968.8261630301</v>
      </c>
      <c r="K22" s="131">
        <f t="shared" si="8"/>
        <v>53622.9503265185</v>
      </c>
      <c r="L22" s="131">
        <f t="shared" si="8"/>
        <v>71550.8434681373</v>
      </c>
      <c r="M22" s="131">
        <f t="shared" si="8"/>
        <v>87701.4165425308</v>
      </c>
      <c r="N22" s="131">
        <f t="shared" si="8"/>
        <v>103870.565624048</v>
      </c>
      <c r="O22" s="131">
        <f t="shared" si="8"/>
        <v>120286.101408941</v>
      </c>
      <c r="P22" s="131">
        <f t="shared" si="8"/>
        <v>136948.022101313</v>
      </c>
      <c r="Q22" s="131">
        <f t="shared" si="8"/>
        <v>153856.325903466</v>
      </c>
      <c r="R22" s="131">
        <f t="shared" si="8"/>
        <v>171011.011015909</v>
      </c>
      <c r="S22" s="131">
        <f t="shared" si="8"/>
        <v>200618.473147068</v>
      </c>
      <c r="T22" s="131">
        <f t="shared" si="8"/>
        <v>230089.588000328</v>
      </c>
      <c r="U22" s="131">
        <f t="shared" si="8"/>
        <v>259424.353770792</v>
      </c>
      <c r="V22" s="131">
        <f t="shared" si="8"/>
        <v>288622.768651758</v>
      </c>
      <c r="W22" s="131">
        <f t="shared" si="8"/>
        <v>317684.830834717</v>
      </c>
      <c r="X22" s="131">
        <f t="shared" si="8"/>
        <v>344914.601081128</v>
      </c>
      <c r="Y22" s="131">
        <f t="shared" si="8"/>
        <v>372008.015007088</v>
      </c>
      <c r="Z22" s="131">
        <f t="shared" si="8"/>
        <v>398965.070798658</v>
      </c>
      <c r="AA22" s="131">
        <f t="shared" si="8"/>
        <v>425785.766640084</v>
      </c>
      <c r="AB22" s="131">
        <f t="shared" si="8"/>
        <v>452470.100713798</v>
      </c>
      <c r="AC22" s="131">
        <f t="shared" si="8"/>
        <v>452322.546523798</v>
      </c>
    </row>
    <row r="23" ht="21" customHeight="1" spans="1:29">
      <c r="A23" s="41"/>
      <c r="B23" s="775"/>
      <c r="C23" s="38"/>
      <c r="D23" s="79"/>
      <c r="E23" s="38"/>
      <c r="F23" s="42"/>
      <c r="G23" s="42"/>
      <c r="H23" s="42"/>
      <c r="I23" s="42"/>
      <c r="J23" s="42"/>
      <c r="K23" s="42"/>
      <c r="L23" s="42"/>
      <c r="M23" s="42"/>
      <c r="N23" s="42"/>
      <c r="O23" s="42"/>
      <c r="P23" s="42"/>
      <c r="Q23" s="42"/>
      <c r="R23" s="42"/>
      <c r="S23" s="42"/>
      <c r="T23" s="42"/>
      <c r="U23" s="42"/>
      <c r="V23" s="42"/>
      <c r="W23" s="42"/>
    </row>
    <row r="24" ht="18" spans="1:29">
      <c r="B24" s="776" t="s">
        <v>797</v>
      </c>
      <c r="C24" s="776"/>
      <c r="D24" s="776"/>
      <c r="E24" s="777">
        <f>IRR(C19:AC19)</f>
        <v>0.226297497721076</v>
      </c>
    </row>
    <row r="25" spans="1:29">
      <c r="B25" s="776" t="str">
        <f>"财务净现值(折现率 "&amp;WACC*100&amp;"%)（所得税前）"</f>
        <v>财务净现值(折现率 6.825%)（所得税前）</v>
      </c>
      <c r="C25" s="776"/>
      <c r="D25" s="776"/>
      <c r="E25" s="778">
        <f>NPV(DiscountRate,C19:AC19)</f>
        <v>161892.219948995</v>
      </c>
    </row>
    <row r="26" spans="1:29">
      <c r="B26" s="776" t="s">
        <v>798</v>
      </c>
      <c r="C26" s="776"/>
      <c r="D26" s="776"/>
      <c r="E26" s="779" cm="1">
        <f t="array" ref="E26">(MATCH(1,IF(C20:AC20&gt;0,1,0),0)-1)-INDEX($C$19:$AC$20,2,(MATCH(1,IF(C20:AC20&gt;0,1,0),0)-1))/INDEX($C$19:$AC$20,1,(MATCH(1,IF(C20:AC20&gt;0,1,0),0)))</f>
        <v>5.64358081588651</v>
      </c>
    </row>
    <row r="27" ht="21" customHeight="1" spans="1:29">
      <c r="A27" s="41"/>
      <c r="B27" s="776" t="s">
        <v>799</v>
      </c>
      <c r="C27" s="776"/>
      <c r="D27" s="776"/>
      <c r="E27" s="777">
        <f>IRR(C21:AC21)</f>
        <v>0.210528646760078</v>
      </c>
      <c r="F27" s="780"/>
      <c r="G27" s="42"/>
      <c r="H27" s="42"/>
      <c r="I27" s="42"/>
      <c r="J27" s="42"/>
      <c r="K27" s="42"/>
      <c r="L27" s="42"/>
      <c r="M27" s="42"/>
      <c r="N27" s="42"/>
      <c r="O27" s="42"/>
      <c r="P27" s="42"/>
      <c r="Q27" s="42"/>
      <c r="R27" s="42"/>
      <c r="S27" s="42"/>
      <c r="T27" s="42"/>
      <c r="U27" s="42"/>
      <c r="V27" s="42"/>
      <c r="W27" s="42"/>
    </row>
    <row r="28" ht="21" customHeight="1" spans="1:29">
      <c r="A28" s="41"/>
      <c r="B28" s="776" t="str">
        <f>"财务净现值(折现率 "&amp;WACC*100&amp;"%)（所得税后）"</f>
        <v>财务净现值(折现率 6.825%)（所得税后）</v>
      </c>
      <c r="C28" s="776"/>
      <c r="D28" s="776"/>
      <c r="E28" s="778">
        <f>NPV(DiscountRate,C21:AC21)</f>
        <v>138383.907533205</v>
      </c>
      <c r="F28" s="781"/>
      <c r="G28" s="782"/>
      <c r="H28" s="42"/>
      <c r="I28" s="42"/>
      <c r="J28" s="42"/>
      <c r="K28" s="42"/>
      <c r="L28" s="42"/>
      <c r="M28" s="42"/>
      <c r="N28" s="42"/>
      <c r="O28" s="42"/>
      <c r="P28" s="42"/>
      <c r="Q28" s="42"/>
      <c r="R28" s="42"/>
      <c r="S28" s="42"/>
      <c r="T28" s="42"/>
      <c r="U28" s="42"/>
      <c r="V28" s="42"/>
      <c r="W28" s="42"/>
    </row>
    <row r="29" spans="1:29">
      <c r="B29" s="776" t="s">
        <v>800</v>
      </c>
      <c r="C29" s="776"/>
      <c r="D29" s="776"/>
      <c r="E29" s="779">
        <f t="array" ref="E29">(MATCH(1,IF(C22:AC22&gt;0,1,0),0)-1)-INDEX($C$21:$AC$22,2,(MATCH(1,IF(C22:AC22&gt;0,1,0),0)-1))/INDEX($C$21:$AC$22,1,(MATCH(1,IF(C22:AC22&gt;0,1,0),0)))</f>
        <v>5.9132682451442</v>
      </c>
      <c r="F29" s="783"/>
      <c r="G29" s="62"/>
      <c r="H29" s="62"/>
      <c r="I29" s="62"/>
      <c r="J29" s="62"/>
      <c r="K29" s="62"/>
      <c r="L29" s="62"/>
      <c r="M29" s="62"/>
      <c r="N29" s="62"/>
      <c r="O29" s="62"/>
      <c r="P29" s="62"/>
      <c r="Q29" s="62"/>
      <c r="R29" s="62"/>
      <c r="S29" s="62"/>
      <c r="T29" s="62"/>
      <c r="U29" s="62"/>
      <c r="V29" s="62"/>
      <c r="W29" s="62"/>
    </row>
  </sheetData>
  <mergeCells count="9">
    <mergeCell ref="A2:W2"/>
    <mergeCell ref="C4:AC4"/>
    <mergeCell ref="B24:D24"/>
    <mergeCell ref="B25:D25"/>
    <mergeCell ref="B26:D26"/>
    <mergeCell ref="B27:D27"/>
    <mergeCell ref="B28:D28"/>
    <mergeCell ref="B29:D29"/>
    <mergeCell ref="B4:B5"/>
  </mergeCells>
  <printOptions horizontalCentered="1"/>
  <pageMargins left="0" right="0" top="0.984027777777778" bottom="0.984027777777778" header="0.511805555555556" footer="0.511805555555556"/>
  <pageSetup paperSize="9" orientation="portrait"/>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33"/>
  <sheetViews>
    <sheetView showZeros="0" view="pageBreakPreview" zoomScale="85" zoomScaleNormal="75" workbookViewId="0">
      <pane xSplit="2" ySplit="5" topLeftCell="C6" activePane="bottomRight" state="frozenSplit"/>
      <selection/>
      <selection pane="topRight"/>
      <selection pane="bottomLeft"/>
      <selection pane="bottomRight" activeCell="I44" sqref="I44"/>
    </sheetView>
  </sheetViews>
  <sheetFormatPr defaultColWidth="8.83035714285714" defaultRowHeight="17.6"/>
  <cols>
    <col min="1" max="1" width="6.5" style="25" customWidth="1"/>
    <col min="2" max="2" width="22.3303571428571" style="25" customWidth="1"/>
    <col min="3" max="3" width="10.1607142857143" style="27" customWidth="1"/>
    <col min="4" max="4" width="13.8303571428571" style="27" customWidth="1"/>
    <col min="5" max="8" width="9.16071428571429" style="27" customWidth="1"/>
    <col min="9" max="9" width="8.82142857142857" style="27" customWidth="1"/>
    <col min="10" max="10" width="9.16071428571429" style="27" customWidth="1"/>
    <col min="11" max="11" width="9.33035714285714" style="27" customWidth="1"/>
    <col min="12" max="12" width="9.16071428571429" style="27" customWidth="1"/>
    <col min="13" max="13" width="9.45535714285714" style="27" customWidth="1"/>
    <col min="14" max="14" width="9.44642857142857" style="25" customWidth="1"/>
    <col min="15" max="17" width="9.16071428571429" style="25" customWidth="1"/>
    <col min="18" max="18" width="11.5" style="25" customWidth="1"/>
    <col min="19" max="23" width="9.16071428571429" style="25" customWidth="1"/>
    <col min="24" max="16384" width="8.83035714285714" style="25"/>
  </cols>
  <sheetData>
    <row r="1" spans="1:29">
      <c r="A1" s="28"/>
      <c r="B1" s="35"/>
      <c r="C1" s="759">
        <f>C15-C6</f>
        <v>0</v>
      </c>
      <c r="D1" s="759"/>
      <c r="E1" s="759"/>
      <c r="F1" s="759"/>
      <c r="G1" s="759"/>
      <c r="H1" s="759"/>
      <c r="I1" s="759"/>
      <c r="J1" s="759"/>
      <c r="K1" s="759"/>
      <c r="L1" s="759"/>
      <c r="M1" s="759"/>
      <c r="N1" s="759"/>
      <c r="O1" s="759"/>
      <c r="P1" s="759"/>
      <c r="Q1" s="759"/>
      <c r="R1" s="759"/>
      <c r="S1" s="759"/>
      <c r="T1" s="759"/>
      <c r="U1" s="759"/>
      <c r="V1" s="759"/>
      <c r="W1" s="759"/>
      <c r="X1" s="759"/>
      <c r="Y1" s="759"/>
      <c r="Z1" s="759"/>
      <c r="AA1" s="759"/>
      <c r="AB1" s="759"/>
      <c r="AC1" s="759"/>
    </row>
    <row r="2" ht="26" spans="1:29">
      <c r="A2" s="33" t="s">
        <v>801</v>
      </c>
      <c r="B2" s="33"/>
      <c r="C2" s="33"/>
      <c r="D2" s="33"/>
      <c r="E2" s="33"/>
      <c r="F2" s="33"/>
      <c r="G2" s="33"/>
      <c r="H2" s="33"/>
      <c r="I2" s="33"/>
      <c r="J2" s="33"/>
      <c r="K2" s="33"/>
      <c r="L2" s="33"/>
      <c r="M2" s="33"/>
      <c r="N2" s="33"/>
      <c r="O2" s="33"/>
      <c r="P2" s="33"/>
      <c r="Q2" s="33"/>
      <c r="R2" s="33"/>
      <c r="S2" s="33"/>
      <c r="T2" s="33"/>
      <c r="U2" s="33"/>
      <c r="V2" s="33"/>
      <c r="W2" s="33"/>
    </row>
    <row r="3" spans="1:29">
      <c r="A3" s="35"/>
      <c r="B3" s="35"/>
      <c r="C3" s="759"/>
      <c r="D3" s="27">
        <f ca="1" t="shared" ref="D3:AC3" si="0">D15-D6</f>
        <v>0</v>
      </c>
      <c r="E3" s="27">
        <f ca="1" t="shared" si="0"/>
        <v>0</v>
      </c>
      <c r="F3" s="27">
        <f ca="1" t="shared" si="0"/>
        <v>0</v>
      </c>
      <c r="G3" s="27">
        <f ca="1" t="shared" si="0"/>
        <v>0</v>
      </c>
      <c r="H3" s="27">
        <f ca="1" t="shared" si="0"/>
        <v>0</v>
      </c>
      <c r="I3" s="27">
        <f ca="1" t="shared" si="0"/>
        <v>0</v>
      </c>
      <c r="J3" s="27">
        <f ca="1" t="shared" si="0"/>
        <v>0</v>
      </c>
      <c r="K3" s="27">
        <f ca="1" t="shared" si="0"/>
        <v>0</v>
      </c>
      <c r="L3" s="27">
        <f ca="1" t="shared" si="0"/>
        <v>0</v>
      </c>
      <c r="M3" s="27">
        <f ca="1" t="shared" si="0"/>
        <v>0</v>
      </c>
      <c r="N3" s="27">
        <f ca="1" t="shared" si="0"/>
        <v>0</v>
      </c>
      <c r="O3" s="27">
        <f ca="1" t="shared" si="0"/>
        <v>0</v>
      </c>
      <c r="P3" s="27">
        <f ca="1" t="shared" si="0"/>
        <v>0</v>
      </c>
      <c r="Q3" s="27">
        <f ca="1" t="shared" si="0"/>
        <v>0</v>
      </c>
      <c r="R3" s="27">
        <f ca="1" t="shared" si="0"/>
        <v>0</v>
      </c>
      <c r="S3" s="27">
        <f ca="1" t="shared" si="0"/>
        <v>0</v>
      </c>
      <c r="T3" s="27">
        <f ca="1" t="shared" si="0"/>
        <v>0</v>
      </c>
      <c r="U3" s="27">
        <f ca="1" t="shared" si="0"/>
        <v>0</v>
      </c>
      <c r="V3" s="27">
        <f ca="1" t="shared" si="0"/>
        <v>0</v>
      </c>
      <c r="W3" s="27">
        <f ca="1" t="shared" si="0"/>
        <v>0</v>
      </c>
      <c r="X3" s="27">
        <f ca="1" t="shared" si="0"/>
        <v>0</v>
      </c>
      <c r="Y3" s="27">
        <f ca="1" t="shared" si="0"/>
        <v>0</v>
      </c>
      <c r="Z3" s="27">
        <f ca="1" t="shared" si="0"/>
        <v>0</v>
      </c>
      <c r="AA3" s="27">
        <f ca="1" t="shared" si="0"/>
        <v>0</v>
      </c>
      <c r="AB3" s="27">
        <f ca="1" t="shared" si="0"/>
        <v>0</v>
      </c>
      <c r="AC3" s="27">
        <f ca="1" t="shared" si="0"/>
        <v>-4.72937244921923e-11</v>
      </c>
    </row>
    <row r="4" spans="1:29">
      <c r="A4" s="38" t="s">
        <v>724</v>
      </c>
      <c r="B4" s="100" t="s">
        <v>802</v>
      </c>
      <c r="C4" s="760" t="s">
        <v>726</v>
      </c>
      <c r="D4" s="761"/>
      <c r="E4" s="761"/>
      <c r="F4" s="761"/>
      <c r="G4" s="761"/>
      <c r="H4" s="761"/>
      <c r="I4" s="761"/>
      <c r="J4" s="761"/>
      <c r="K4" s="761"/>
      <c r="L4" s="761"/>
      <c r="M4" s="761"/>
      <c r="N4" s="761"/>
      <c r="O4" s="761"/>
      <c r="P4" s="761"/>
      <c r="Q4" s="761"/>
      <c r="R4" s="761"/>
      <c r="S4" s="761"/>
      <c r="T4" s="761"/>
      <c r="U4" s="761"/>
      <c r="V4" s="761"/>
      <c r="W4" s="761"/>
      <c r="X4" s="761"/>
      <c r="Y4" s="761"/>
      <c r="Z4" s="761"/>
      <c r="AA4" s="761"/>
      <c r="AB4" s="761"/>
      <c r="AC4" s="762"/>
    </row>
    <row r="5" spans="1:29">
      <c r="A5" s="43" t="s">
        <v>727</v>
      </c>
      <c r="B5" s="104"/>
      <c r="C5" s="42">
        <v>1</v>
      </c>
      <c r="D5" s="42">
        <v>2</v>
      </c>
      <c r="E5" s="42">
        <v>3</v>
      </c>
      <c r="F5" s="42">
        <v>4</v>
      </c>
      <c r="G5" s="42">
        <v>5</v>
      </c>
      <c r="H5" s="42">
        <v>6</v>
      </c>
      <c r="I5" s="42">
        <v>7</v>
      </c>
      <c r="J5" s="42">
        <v>8</v>
      </c>
      <c r="K5" s="42">
        <v>9</v>
      </c>
      <c r="L5" s="42">
        <v>10</v>
      </c>
      <c r="M5" s="42">
        <v>11</v>
      </c>
      <c r="N5" s="42">
        <v>12</v>
      </c>
      <c r="O5" s="42">
        <v>13</v>
      </c>
      <c r="P5" s="42">
        <v>14</v>
      </c>
      <c r="Q5" s="42">
        <v>15</v>
      </c>
      <c r="R5" s="42">
        <v>16</v>
      </c>
      <c r="S5" s="42">
        <v>17</v>
      </c>
      <c r="T5" s="42">
        <v>18</v>
      </c>
      <c r="U5" s="42">
        <v>19</v>
      </c>
      <c r="V5" s="42">
        <v>20</v>
      </c>
      <c r="W5" s="42">
        <v>21</v>
      </c>
      <c r="X5" s="42">
        <v>22</v>
      </c>
      <c r="Y5" s="42">
        <v>23</v>
      </c>
      <c r="Z5" s="42">
        <v>24</v>
      </c>
      <c r="AA5" s="42">
        <v>25</v>
      </c>
      <c r="AB5" s="42">
        <v>26</v>
      </c>
      <c r="AC5" s="42">
        <v>27</v>
      </c>
    </row>
    <row r="6" spans="1:29">
      <c r="A6" s="129">
        <v>1</v>
      </c>
      <c r="B6" s="130" t="s">
        <v>803</v>
      </c>
      <c r="C6" s="131">
        <f>SUM(C7,C10:C12)</f>
        <v>267947.357144546</v>
      </c>
      <c r="D6" s="131">
        <f ca="1" t="shared" ref="D6:AC6" si="1">SUM(D7,D10:D13)</f>
        <v>274037.405642222</v>
      </c>
      <c r="E6" s="131">
        <f ca="1" t="shared" si="1"/>
        <v>280176.999687025</v>
      </c>
      <c r="F6" s="131">
        <f ca="1" t="shared" si="1"/>
        <v>286590.374605107</v>
      </c>
      <c r="G6" s="131">
        <f ca="1" t="shared" si="1"/>
        <v>293277.528418894</v>
      </c>
      <c r="H6" s="131">
        <f ca="1" t="shared" si="1"/>
        <v>300238.459148834</v>
      </c>
      <c r="I6" s="131">
        <f ca="1" t="shared" si="1"/>
        <v>307220.039824108</v>
      </c>
      <c r="J6" s="131">
        <f ca="1" t="shared" si="1"/>
        <v>314475.393450491</v>
      </c>
      <c r="K6" s="131">
        <f ca="1" t="shared" si="1"/>
        <v>322004.518042487</v>
      </c>
      <c r="L6" s="131">
        <f ca="1" t="shared" si="1"/>
        <v>329807.411612613</v>
      </c>
      <c r="M6" s="131">
        <f ca="1" t="shared" si="1"/>
        <v>335832.985115514</v>
      </c>
      <c r="N6" s="131">
        <f ca="1" t="shared" si="1"/>
        <v>341877.134625538</v>
      </c>
      <c r="O6" s="131">
        <f ca="1" t="shared" si="1"/>
        <v>348167.670838939</v>
      </c>
      <c r="P6" s="131">
        <f ca="1" t="shared" si="1"/>
        <v>354704.591959817</v>
      </c>
      <c r="Q6" s="131">
        <f ca="1" t="shared" si="1"/>
        <v>361487.896190478</v>
      </c>
      <c r="R6" s="131">
        <f ca="1" t="shared" si="1"/>
        <v>368517.581731428</v>
      </c>
      <c r="S6" s="131">
        <f ca="1" t="shared" si="1"/>
        <v>388000.044291094</v>
      </c>
      <c r="T6" s="131">
        <f ca="1" t="shared" si="1"/>
        <v>407346.159572862</v>
      </c>
      <c r="U6" s="131">
        <f ca="1" t="shared" si="1"/>
        <v>426555.925771833</v>
      </c>
      <c r="V6" s="131">
        <f ca="1" t="shared" si="1"/>
        <v>445629.341081306</v>
      </c>
      <c r="W6" s="131">
        <f ca="1" t="shared" si="1"/>
        <v>464566.403692772</v>
      </c>
      <c r="X6" s="131">
        <f ca="1" t="shared" si="1"/>
        <v>491796.173939183</v>
      </c>
      <c r="Y6" s="131">
        <f ca="1" t="shared" si="1"/>
        <v>518889.587865143</v>
      </c>
      <c r="Z6" s="131">
        <f ca="1" t="shared" si="1"/>
        <v>545846.643656713</v>
      </c>
      <c r="AA6" s="131">
        <f ca="1" t="shared" si="1"/>
        <v>572667.339498139</v>
      </c>
      <c r="AB6" s="131">
        <f ca="1" t="shared" si="1"/>
        <v>599351.673571853</v>
      </c>
      <c r="AC6" s="131">
        <f ca="1" t="shared" si="1"/>
        <v>0</v>
      </c>
    </row>
    <row r="7" spans="1:29">
      <c r="A7" s="42">
        <v>1.1</v>
      </c>
      <c r="B7" s="91" t="s">
        <v>804</v>
      </c>
      <c r="C7" s="45">
        <f t="shared" ref="C7:W7" si="2">SUM(C8:C9)</f>
        <v>1500</v>
      </c>
      <c r="D7" s="45">
        <f t="shared" si="2"/>
        <v>17715.048069168</v>
      </c>
      <c r="E7" s="45">
        <f t="shared" si="2"/>
        <v>33979.6416854638</v>
      </c>
      <c r="F7" s="67">
        <f t="shared" si="2"/>
        <v>50518.0161750386</v>
      </c>
      <c r="G7" s="67">
        <f t="shared" si="2"/>
        <v>67330.1695603183</v>
      </c>
      <c r="H7" s="67">
        <f t="shared" si="2"/>
        <v>84416.099861751</v>
      </c>
      <c r="I7" s="67">
        <f t="shared" si="2"/>
        <v>101522.680108518</v>
      </c>
      <c r="J7" s="67">
        <f t="shared" si="2"/>
        <v>118903.033306394</v>
      </c>
      <c r="K7" s="67">
        <f t="shared" si="2"/>
        <v>136557.157469882</v>
      </c>
      <c r="L7" s="67">
        <f t="shared" si="2"/>
        <v>154485.050611501</v>
      </c>
      <c r="M7" s="67">
        <f t="shared" si="2"/>
        <v>170635.623685895</v>
      </c>
      <c r="N7" s="67">
        <f t="shared" si="2"/>
        <v>186804.772767412</v>
      </c>
      <c r="O7" s="67">
        <f t="shared" si="2"/>
        <v>203220.308552305</v>
      </c>
      <c r="P7" s="67">
        <f t="shared" si="2"/>
        <v>219882.229244677</v>
      </c>
      <c r="Q7" s="67">
        <f t="shared" si="2"/>
        <v>236790.53304683</v>
      </c>
      <c r="R7" s="67">
        <f t="shared" si="2"/>
        <v>253945.218159272</v>
      </c>
      <c r="S7" s="67">
        <f t="shared" si="2"/>
        <v>283552.680290432</v>
      </c>
      <c r="T7" s="67">
        <f t="shared" si="2"/>
        <v>313023.795143692</v>
      </c>
      <c r="U7" s="67">
        <f t="shared" si="2"/>
        <v>342358.560914156</v>
      </c>
      <c r="V7" s="67">
        <f t="shared" si="2"/>
        <v>371556.975795122</v>
      </c>
      <c r="W7" s="67">
        <f t="shared" si="2"/>
        <v>400619.037978081</v>
      </c>
      <c r="X7" s="67">
        <f t="shared" ref="X7:AC7" si="3">SUM(X8:X9)</f>
        <v>427848.808224492</v>
      </c>
      <c r="Y7" s="67">
        <f t="shared" si="3"/>
        <v>454942.222150452</v>
      </c>
      <c r="Z7" s="67">
        <f t="shared" si="3"/>
        <v>481899.277942022</v>
      </c>
      <c r="AA7" s="67">
        <f t="shared" si="3"/>
        <v>508719.973783448</v>
      </c>
      <c r="AB7" s="67">
        <f t="shared" si="3"/>
        <v>535404.307857162</v>
      </c>
      <c r="AC7" s="67">
        <f t="shared" si="3"/>
        <v>0</v>
      </c>
    </row>
    <row r="8" spans="1:29">
      <c r="A8" s="42" t="s">
        <v>179</v>
      </c>
      <c r="B8" s="763" t="s">
        <v>805</v>
      </c>
      <c r="C8" s="45">
        <f>资金筹措!C9</f>
        <v>1500</v>
      </c>
      <c r="D8" s="45">
        <f>IF(C5&gt;ConstructPeriod+OperationPeriod,0,C8+资金筹措!D9)</f>
        <v>1500</v>
      </c>
      <c r="E8" s="45">
        <f>IF(D5&lt;ConstructPeriod+OperationPeriod,D8+资金筹措!E9,0)</f>
        <v>1500</v>
      </c>
      <c r="F8" s="45">
        <f t="shared" ref="F8:AC8" si="4">IF(E5&lt;ConstructPeriod+OperationPeriod,E8,0)</f>
        <v>1500</v>
      </c>
      <c r="G8" s="45">
        <f t="shared" si="4"/>
        <v>1500</v>
      </c>
      <c r="H8" s="45">
        <f t="shared" si="4"/>
        <v>1500</v>
      </c>
      <c r="I8" s="45">
        <f t="shared" si="4"/>
        <v>1500</v>
      </c>
      <c r="J8" s="45">
        <f t="shared" si="4"/>
        <v>1500</v>
      </c>
      <c r="K8" s="45">
        <f t="shared" si="4"/>
        <v>1500</v>
      </c>
      <c r="L8" s="45">
        <f t="shared" si="4"/>
        <v>1500</v>
      </c>
      <c r="M8" s="45">
        <f t="shared" si="4"/>
        <v>1500</v>
      </c>
      <c r="N8" s="45">
        <f t="shared" si="4"/>
        <v>1500</v>
      </c>
      <c r="O8" s="45">
        <f t="shared" si="4"/>
        <v>1500</v>
      </c>
      <c r="P8" s="45">
        <f t="shared" si="4"/>
        <v>1500</v>
      </c>
      <c r="Q8" s="45">
        <f t="shared" si="4"/>
        <v>1500</v>
      </c>
      <c r="R8" s="45">
        <f t="shared" si="4"/>
        <v>1500</v>
      </c>
      <c r="S8" s="45">
        <f t="shared" si="4"/>
        <v>1500</v>
      </c>
      <c r="T8" s="45">
        <f t="shared" si="4"/>
        <v>1500</v>
      </c>
      <c r="U8" s="45">
        <f t="shared" si="4"/>
        <v>1500</v>
      </c>
      <c r="V8" s="45">
        <f t="shared" si="4"/>
        <v>1500</v>
      </c>
      <c r="W8" s="45">
        <f t="shared" si="4"/>
        <v>1500</v>
      </c>
      <c r="X8" s="45">
        <f t="shared" si="4"/>
        <v>1500</v>
      </c>
      <c r="Y8" s="45">
        <f t="shared" si="4"/>
        <v>1500</v>
      </c>
      <c r="Z8" s="45">
        <f t="shared" si="4"/>
        <v>1500</v>
      </c>
      <c r="AA8" s="45">
        <f t="shared" si="4"/>
        <v>1500</v>
      </c>
      <c r="AB8" s="45">
        <f t="shared" si="4"/>
        <v>1500</v>
      </c>
      <c r="AC8" s="45">
        <f t="shared" si="4"/>
        <v>0</v>
      </c>
    </row>
    <row r="9" spans="1:29">
      <c r="A9" s="42" t="s">
        <v>181</v>
      </c>
      <c r="B9" s="91" t="s">
        <v>806</v>
      </c>
      <c r="C9" s="45">
        <f>财务计划!C43</f>
        <v>0</v>
      </c>
      <c r="D9" s="45">
        <f>财务计划!D43</f>
        <v>16215.048069168</v>
      </c>
      <c r="E9" s="45">
        <f>财务计划!E43</f>
        <v>32479.6416854638</v>
      </c>
      <c r="F9" s="45">
        <f>财务计划!F43</f>
        <v>49018.0161750386</v>
      </c>
      <c r="G9" s="67">
        <f>财务计划!G43</f>
        <v>65830.1695603183</v>
      </c>
      <c r="H9" s="67">
        <f>财务计划!H43</f>
        <v>82916.099861751</v>
      </c>
      <c r="I9" s="67">
        <f>财务计划!I43</f>
        <v>100022.680108518</v>
      </c>
      <c r="J9" s="67">
        <f>财务计划!J43</f>
        <v>117403.033306394</v>
      </c>
      <c r="K9" s="67">
        <f>财务计划!K43</f>
        <v>135057.157469882</v>
      </c>
      <c r="L9" s="67">
        <f>财务计划!L43</f>
        <v>152985.050611501</v>
      </c>
      <c r="M9" s="67">
        <f>财务计划!M43</f>
        <v>169135.623685895</v>
      </c>
      <c r="N9" s="67">
        <f>财务计划!N43</f>
        <v>185304.772767412</v>
      </c>
      <c r="O9" s="67">
        <f>财务计划!O43</f>
        <v>201720.308552305</v>
      </c>
      <c r="P9" s="67">
        <f>财务计划!P43</f>
        <v>218382.229244677</v>
      </c>
      <c r="Q9" s="67">
        <f>财务计划!Q43</f>
        <v>235290.53304683</v>
      </c>
      <c r="R9" s="67">
        <f>财务计划!R43</f>
        <v>252445.218159272</v>
      </c>
      <c r="S9" s="67">
        <f>财务计划!S43</f>
        <v>282052.680290432</v>
      </c>
      <c r="T9" s="67">
        <f>财务计划!T43</f>
        <v>311523.795143692</v>
      </c>
      <c r="U9" s="67">
        <f>财务计划!U43</f>
        <v>340858.560914156</v>
      </c>
      <c r="V9" s="67">
        <f>财务计划!V43</f>
        <v>370056.975795122</v>
      </c>
      <c r="W9" s="67">
        <f>财务计划!W43</f>
        <v>399119.037978081</v>
      </c>
      <c r="X9" s="67">
        <f>财务计划!X43</f>
        <v>426348.808224492</v>
      </c>
      <c r="Y9" s="67">
        <f>财务计划!Y43</f>
        <v>453442.222150452</v>
      </c>
      <c r="Z9" s="67">
        <f>财务计划!Z43</f>
        <v>480399.277942022</v>
      </c>
      <c r="AA9" s="67">
        <f>财务计划!AA43</f>
        <v>507219.973783448</v>
      </c>
      <c r="AB9" s="67">
        <f>财务计划!AB43</f>
        <v>533904.307857162</v>
      </c>
      <c r="AC9" s="67">
        <f>财务计划!AC43</f>
        <v>0</v>
      </c>
    </row>
    <row r="10" spans="1:29">
      <c r="A10" s="42">
        <v>1.2</v>
      </c>
      <c r="B10" s="91" t="s">
        <v>807</v>
      </c>
      <c r="C10" s="45">
        <f>FixedAssets</f>
        <v>266447.357144546</v>
      </c>
      <c r="D10" s="45">
        <f>IF(D5&lt;=ConstructPeriod,资金筹措!D7+资金筹措!D9+C10,0)</f>
        <v>0</v>
      </c>
      <c r="E10" s="45"/>
      <c r="F10" s="67"/>
      <c r="G10" s="67"/>
      <c r="H10" s="67"/>
      <c r="I10" s="67"/>
      <c r="J10" s="67"/>
      <c r="K10" s="67"/>
      <c r="L10" s="67"/>
      <c r="M10" s="67"/>
      <c r="N10" s="67"/>
      <c r="O10" s="67"/>
      <c r="P10" s="67"/>
      <c r="Q10" s="67"/>
      <c r="R10" s="67"/>
      <c r="S10" s="67"/>
      <c r="T10" s="67"/>
      <c r="U10" s="67"/>
      <c r="V10" s="67"/>
      <c r="W10" s="67"/>
      <c r="X10" s="67"/>
      <c r="Y10" s="67"/>
      <c r="Z10" s="67"/>
      <c r="AA10" s="67"/>
      <c r="AB10" s="67"/>
      <c r="AC10" s="67"/>
    </row>
    <row r="11" spans="1:29">
      <c r="A11" s="42">
        <v>1.3</v>
      </c>
      <c r="B11" s="91" t="s">
        <v>808</v>
      </c>
      <c r="C11" s="45">
        <f>折旧!G19</f>
        <v>0</v>
      </c>
      <c r="D11" s="45">
        <f>折旧!H19</f>
        <v>256322.357573054</v>
      </c>
      <c r="E11" s="45">
        <f>折旧!I19</f>
        <v>246197.358001561</v>
      </c>
      <c r="F11" s="67">
        <f>折旧!J19</f>
        <v>236072.358430068</v>
      </c>
      <c r="G11" s="67">
        <f>折旧!K19</f>
        <v>225947.358858575</v>
      </c>
      <c r="H11" s="67">
        <f>折旧!L19</f>
        <v>215822.359287083</v>
      </c>
      <c r="I11" s="67">
        <f>折旧!M19</f>
        <v>205697.35971559</v>
      </c>
      <c r="J11" s="67">
        <f>折旧!N19</f>
        <v>195572.360144097</v>
      </c>
      <c r="K11" s="67">
        <f>折旧!O19</f>
        <v>185447.360572604</v>
      </c>
      <c r="L11" s="67">
        <f>折旧!P19</f>
        <v>175322.361001112</v>
      </c>
      <c r="M11" s="67">
        <f>折旧!Q19</f>
        <v>165197.361429619</v>
      </c>
      <c r="N11" s="67">
        <f>折旧!R19</f>
        <v>155072.361858126</v>
      </c>
      <c r="O11" s="67">
        <f>折旧!S19</f>
        <v>144947.362286633</v>
      </c>
      <c r="P11" s="67">
        <f>折旧!T19</f>
        <v>134822.362715141</v>
      </c>
      <c r="Q11" s="67">
        <f>折旧!U19</f>
        <v>124697.363143648</v>
      </c>
      <c r="R11" s="67">
        <f>折旧!V19</f>
        <v>114572.363572155</v>
      </c>
      <c r="S11" s="67">
        <f>折旧!W19</f>
        <v>104447.364000662</v>
      </c>
      <c r="T11" s="67">
        <f>折旧!X19</f>
        <v>94322.3644291695</v>
      </c>
      <c r="U11" s="67">
        <f>折旧!Y19</f>
        <v>84197.3648576768</v>
      </c>
      <c r="V11" s="67">
        <f>折旧!Z19</f>
        <v>74072.365286184</v>
      </c>
      <c r="W11" s="67">
        <f>折旧!AA19</f>
        <v>63947.3657146912</v>
      </c>
      <c r="X11" s="67">
        <f>折旧!AB19</f>
        <v>63947.3657146912</v>
      </c>
      <c r="Y11" s="67">
        <f>折旧!AC19</f>
        <v>63947.3657146912</v>
      </c>
      <c r="Z11" s="67">
        <f>折旧!AD19</f>
        <v>63947.3657146912</v>
      </c>
      <c r="AA11" s="67">
        <f>折旧!AE19</f>
        <v>63947.3657146912</v>
      </c>
      <c r="AB11" s="67">
        <f>折旧!AF19</f>
        <v>63947.3657146912</v>
      </c>
      <c r="AC11" s="67">
        <f>折旧!AG19</f>
        <v>0</v>
      </c>
    </row>
    <row r="12" spans="1:29">
      <c r="A12" s="42">
        <v>1.4</v>
      </c>
      <c r="B12" s="91" t="s">
        <v>809</v>
      </c>
      <c r="C12" s="45">
        <f>摊销!E20</f>
        <v>0</v>
      </c>
      <c r="D12" s="45">
        <f>摊销!F20</f>
        <v>0</v>
      </c>
      <c r="E12" s="45">
        <f>摊销!G20</f>
        <v>0</v>
      </c>
      <c r="F12" s="67">
        <f>摊销!H20</f>
        <v>0</v>
      </c>
      <c r="G12" s="67">
        <f>摊销!I20</f>
        <v>0</v>
      </c>
      <c r="H12" s="67">
        <f>摊销!J20</f>
        <v>0</v>
      </c>
      <c r="I12" s="67">
        <f>摊销!K20</f>
        <v>0</v>
      </c>
      <c r="J12" s="67">
        <f>摊销!L20</f>
        <v>0</v>
      </c>
      <c r="K12" s="67">
        <f>摊销!M20</f>
        <v>0</v>
      </c>
      <c r="L12" s="67">
        <f>摊销!N20</f>
        <v>0</v>
      </c>
      <c r="M12" s="67">
        <f>摊销!O20</f>
        <v>0</v>
      </c>
      <c r="N12" s="67">
        <f>摊销!P20</f>
        <v>0</v>
      </c>
      <c r="O12" s="67">
        <f>摊销!Q20</f>
        <v>0</v>
      </c>
      <c r="P12" s="67">
        <f>摊销!R20</f>
        <v>0</v>
      </c>
      <c r="Q12" s="67">
        <f>摊销!S20</f>
        <v>0</v>
      </c>
      <c r="R12" s="67">
        <f>摊销!T20</f>
        <v>0</v>
      </c>
      <c r="S12" s="67">
        <f>摊销!U20</f>
        <v>0</v>
      </c>
      <c r="T12" s="67">
        <f>摊销!V20</f>
        <v>0</v>
      </c>
      <c r="U12" s="67">
        <f>摊销!W20</f>
        <v>0</v>
      </c>
      <c r="V12" s="67">
        <f>摊销!X20</f>
        <v>0</v>
      </c>
      <c r="W12" s="67">
        <f>摊销!Y20</f>
        <v>0</v>
      </c>
      <c r="X12" s="67">
        <f>摊销!Z20</f>
        <v>0</v>
      </c>
      <c r="Y12" s="67">
        <f>摊销!AA20</f>
        <v>0</v>
      </c>
      <c r="Z12" s="67">
        <f>摊销!AB20</f>
        <v>0</v>
      </c>
      <c r="AA12" s="67">
        <f>摊销!AC20</f>
        <v>0</v>
      </c>
      <c r="AB12" s="67">
        <f>摊销!AD20</f>
        <v>0</v>
      </c>
      <c r="AC12" s="67">
        <f>摊销!AE20</f>
        <v>0</v>
      </c>
    </row>
    <row r="13" spans="1:29">
      <c r="A13" s="42">
        <v>1.5</v>
      </c>
      <c r="B13" s="763" t="s">
        <v>810</v>
      </c>
      <c r="C13" s="45">
        <f>销售收入!D38</f>
        <v>0</v>
      </c>
      <c r="D13" s="45">
        <f ca="1">销售收入!E41-SUM(销售收入!$E$42:销售收入!E42)</f>
        <v>0</v>
      </c>
      <c r="E13" s="45">
        <f ca="1">销售收入!F41-SUM(销售收入!$E$42:销售收入!F42)</f>
        <v>0</v>
      </c>
      <c r="F13" s="45">
        <f ca="1">销售收入!G41-SUM(销售收入!$E$42:销售收入!G42)</f>
        <v>0</v>
      </c>
      <c r="G13" s="45">
        <f ca="1">销售收入!H41-SUM(销售收入!$E$42:销售收入!H42)</f>
        <v>0</v>
      </c>
      <c r="H13" s="45">
        <f ca="1">销售收入!I41-SUM(销售收入!$E$42:销售收入!I42)</f>
        <v>0</v>
      </c>
      <c r="I13" s="45">
        <f ca="1">销售收入!J41-SUM(销售收入!$E$42:销售收入!J42)</f>
        <v>0</v>
      </c>
      <c r="J13" s="45">
        <f ca="1">销售收入!K41-SUM(销售收入!$E$42:销售收入!K42)</f>
        <v>0</v>
      </c>
      <c r="K13" s="45">
        <f ca="1">销售收入!L41-SUM(销售收入!$E$42:销售收入!L42)</f>
        <v>0</v>
      </c>
      <c r="L13" s="45">
        <f ca="1">销售收入!M41-SUM(销售收入!$E$42:销售收入!M42)</f>
        <v>0</v>
      </c>
      <c r="M13" s="45">
        <f ca="1">销售收入!N41-SUM(销售收入!$E$42:销售收入!N42)</f>
        <v>0</v>
      </c>
      <c r="N13" s="45">
        <f ca="1">销售收入!O41-SUM(销售收入!$E$42:销售收入!O42)</f>
        <v>0</v>
      </c>
      <c r="O13" s="45">
        <f ca="1">销售收入!P41-SUM(销售收入!$E$42:销售收入!P42)</f>
        <v>0</v>
      </c>
      <c r="P13" s="45">
        <f ca="1">销售收入!Q41-SUM(销售收入!$E$42:销售收入!Q42)</f>
        <v>0</v>
      </c>
      <c r="Q13" s="45">
        <f ca="1">销售收入!R41-SUM(销售收入!$E$42:销售收入!R42)</f>
        <v>0</v>
      </c>
      <c r="R13" s="45">
        <f ca="1">销售收入!S41-SUM(销售收入!$E$42:销售收入!S42)</f>
        <v>0</v>
      </c>
      <c r="S13" s="45">
        <f ca="1">销售收入!T41-SUM(销售收入!$E$42:销售收入!T42)</f>
        <v>0</v>
      </c>
      <c r="T13" s="45">
        <f ca="1">销售收入!U41-SUM(销售收入!$E$42:销售收入!U42)</f>
        <v>0</v>
      </c>
      <c r="U13" s="45">
        <f ca="1">销售收入!V41-SUM(销售收入!$E$42:销售收入!V42)</f>
        <v>0</v>
      </c>
      <c r="V13" s="45">
        <f ca="1">销售收入!W41-SUM(销售收入!$E$42:销售收入!W42)</f>
        <v>0</v>
      </c>
      <c r="W13" s="45">
        <f ca="1">销售收入!X41-SUM(销售收入!$E$42:销售收入!X42)</f>
        <v>0</v>
      </c>
      <c r="X13" s="45">
        <f ca="1">销售收入!Y41-SUM(销售收入!$E$42:销售收入!Y42)</f>
        <v>0</v>
      </c>
      <c r="Y13" s="45">
        <f ca="1">销售收入!Z41-SUM(销售收入!$E$42:销售收入!Z42)</f>
        <v>0</v>
      </c>
      <c r="Z13" s="45">
        <f ca="1">销售收入!AA41-SUM(销售收入!$E$42:销售收入!AA42)</f>
        <v>0</v>
      </c>
      <c r="AA13" s="45">
        <f ca="1">销售收入!AB41-SUM(销售收入!$E$42:销售收入!AB42)</f>
        <v>0</v>
      </c>
      <c r="AB13" s="45">
        <f ca="1">销售收入!AC41-SUM(销售收入!$E$42:销售收入!AC42)</f>
        <v>0</v>
      </c>
      <c r="AC13" s="45">
        <f ca="1">销售收入!AD41-SUM(销售收入!$E$42:销售收入!AD42)</f>
        <v>0</v>
      </c>
    </row>
    <row r="14" spans="1:29">
      <c r="A14" s="764"/>
      <c r="B14" s="765" t="s">
        <v>811</v>
      </c>
      <c r="C14" s="766" t="str">
        <f t="shared" ref="C14:AC14" si="5">IF(C6-C15=0,"OK","NOK")</f>
        <v>OK</v>
      </c>
      <c r="D14" s="766" t="str">
        <f ca="1" t="shared" si="5"/>
        <v>OK</v>
      </c>
      <c r="E14" s="766" t="str">
        <f ca="1" t="shared" si="5"/>
        <v>OK</v>
      </c>
      <c r="F14" s="766" t="str">
        <f ca="1" t="shared" si="5"/>
        <v>OK</v>
      </c>
      <c r="G14" s="766" t="str">
        <f ca="1" t="shared" si="5"/>
        <v>OK</v>
      </c>
      <c r="H14" s="766" t="str">
        <f ca="1" t="shared" si="5"/>
        <v>OK</v>
      </c>
      <c r="I14" s="766" t="str">
        <f ca="1" t="shared" si="5"/>
        <v>OK</v>
      </c>
      <c r="J14" s="766" t="str">
        <f ca="1" t="shared" si="5"/>
        <v>OK</v>
      </c>
      <c r="K14" s="766" t="str">
        <f ca="1" t="shared" si="5"/>
        <v>OK</v>
      </c>
      <c r="L14" s="766" t="str">
        <f ca="1" t="shared" si="5"/>
        <v>OK</v>
      </c>
      <c r="M14" s="766" t="str">
        <f ca="1" t="shared" si="5"/>
        <v>OK</v>
      </c>
      <c r="N14" s="766" t="str">
        <f ca="1" t="shared" si="5"/>
        <v>OK</v>
      </c>
      <c r="O14" s="766" t="str">
        <f ca="1" t="shared" si="5"/>
        <v>OK</v>
      </c>
      <c r="P14" s="766" t="str">
        <f ca="1" t="shared" si="5"/>
        <v>OK</v>
      </c>
      <c r="Q14" s="766" t="str">
        <f ca="1" t="shared" si="5"/>
        <v>OK</v>
      </c>
      <c r="R14" s="766" t="str">
        <f ca="1" t="shared" si="5"/>
        <v>OK</v>
      </c>
      <c r="S14" s="766" t="str">
        <f ca="1" t="shared" si="5"/>
        <v>OK</v>
      </c>
      <c r="T14" s="766" t="str">
        <f ca="1" t="shared" si="5"/>
        <v>OK</v>
      </c>
      <c r="U14" s="766" t="str">
        <f ca="1" t="shared" si="5"/>
        <v>NOK</v>
      </c>
      <c r="V14" s="766" t="str">
        <f ca="1" t="shared" si="5"/>
        <v>OK</v>
      </c>
      <c r="W14" s="766" t="str">
        <f ca="1" t="shared" si="5"/>
        <v>OK</v>
      </c>
      <c r="X14" s="766" t="str">
        <f ca="1" t="shared" si="5"/>
        <v>OK</v>
      </c>
      <c r="Y14" s="766" t="str">
        <f ca="1" t="shared" si="5"/>
        <v>OK</v>
      </c>
      <c r="Z14" s="766" t="str">
        <f ca="1" t="shared" si="5"/>
        <v>OK</v>
      </c>
      <c r="AA14" s="766" t="str">
        <f ca="1" t="shared" si="5"/>
        <v>OK</v>
      </c>
      <c r="AB14" s="766" t="str">
        <f ca="1" t="shared" si="5"/>
        <v>OK</v>
      </c>
      <c r="AC14" s="766" t="str">
        <f ca="1" t="shared" si="5"/>
        <v>NOK</v>
      </c>
    </row>
    <row r="15" spans="1:29">
      <c r="A15" s="129">
        <v>2</v>
      </c>
      <c r="B15" s="130" t="s">
        <v>812</v>
      </c>
      <c r="C15" s="131">
        <f>C21+C22</f>
        <v>267947.357144546</v>
      </c>
      <c r="D15" s="131">
        <f>D21+D22</f>
        <v>274037.405642222</v>
      </c>
      <c r="E15" s="131">
        <f t="shared" ref="E15:M15" si="6">SUM(E21:E22)</f>
        <v>280176.999687025</v>
      </c>
      <c r="F15" s="767">
        <f t="shared" si="6"/>
        <v>286590.374605107</v>
      </c>
      <c r="G15" s="767">
        <f t="shared" si="6"/>
        <v>293277.528418894</v>
      </c>
      <c r="H15" s="767">
        <f t="shared" si="6"/>
        <v>300238.459148834</v>
      </c>
      <c r="I15" s="767">
        <f t="shared" si="6"/>
        <v>307220.039824108</v>
      </c>
      <c r="J15" s="767">
        <f t="shared" si="6"/>
        <v>314475.393450491</v>
      </c>
      <c r="K15" s="767">
        <f t="shared" si="6"/>
        <v>322004.518042487</v>
      </c>
      <c r="L15" s="767">
        <f t="shared" si="6"/>
        <v>329807.411612613</v>
      </c>
      <c r="M15" s="767">
        <f t="shared" si="6"/>
        <v>335832.985115513</v>
      </c>
      <c r="N15" s="767">
        <f t="shared" ref="N15:W15" si="7">SUM(N21:N22)</f>
        <v>341877.134625537</v>
      </c>
      <c r="O15" s="767">
        <f t="shared" si="7"/>
        <v>348167.670838939</v>
      </c>
      <c r="P15" s="767">
        <f t="shared" si="7"/>
        <v>354704.591959817</v>
      </c>
      <c r="Q15" s="767">
        <f t="shared" si="7"/>
        <v>361487.896190478</v>
      </c>
      <c r="R15" s="767">
        <f t="shared" si="7"/>
        <v>368517.581731427</v>
      </c>
      <c r="S15" s="767">
        <f t="shared" si="7"/>
        <v>388000.044291094</v>
      </c>
      <c r="T15" s="767">
        <f t="shared" si="7"/>
        <v>407346.159572861</v>
      </c>
      <c r="U15" s="767">
        <f t="shared" si="7"/>
        <v>426555.925771832</v>
      </c>
      <c r="V15" s="767">
        <f t="shared" si="7"/>
        <v>445629.341081305</v>
      </c>
      <c r="W15" s="767">
        <f t="shared" si="7"/>
        <v>464566.403692772</v>
      </c>
      <c r="X15" s="767">
        <f t="shared" ref="X15:AC15" si="8">SUM(X21:X22)</f>
        <v>491796.173939183</v>
      </c>
      <c r="Y15" s="767">
        <f t="shared" si="8"/>
        <v>518889.587865143</v>
      </c>
      <c r="Z15" s="767">
        <f t="shared" si="8"/>
        <v>545846.643656713</v>
      </c>
      <c r="AA15" s="767">
        <f t="shared" si="8"/>
        <v>572667.339498139</v>
      </c>
      <c r="AB15" s="767">
        <f t="shared" si="8"/>
        <v>599351.673571853</v>
      </c>
      <c r="AC15" s="767">
        <f t="shared" si="8"/>
        <v>-4.72937244921923e-11</v>
      </c>
    </row>
    <row r="16" spans="1:29">
      <c r="A16" s="42">
        <v>2.1</v>
      </c>
      <c r="B16" s="91" t="s">
        <v>813</v>
      </c>
      <c r="C16" s="45">
        <f t="shared" ref="C16:W16" si="9">SUM(C17:C18)</f>
        <v>0</v>
      </c>
      <c r="D16" s="45">
        <f t="shared" si="9"/>
        <v>0</v>
      </c>
      <c r="E16" s="45">
        <f t="shared" si="9"/>
        <v>0</v>
      </c>
      <c r="F16" s="67">
        <f t="shared" si="9"/>
        <v>0</v>
      </c>
      <c r="G16" s="67">
        <f t="shared" si="9"/>
        <v>0</v>
      </c>
      <c r="H16" s="67">
        <f t="shared" si="9"/>
        <v>0</v>
      </c>
      <c r="I16" s="67">
        <f t="shared" si="9"/>
        <v>0</v>
      </c>
      <c r="J16" s="67">
        <f t="shared" si="9"/>
        <v>0</v>
      </c>
      <c r="K16" s="67">
        <f t="shared" si="9"/>
        <v>0</v>
      </c>
      <c r="L16" s="67">
        <f t="shared" si="9"/>
        <v>0</v>
      </c>
      <c r="M16" s="67">
        <f t="shared" si="9"/>
        <v>0</v>
      </c>
      <c r="N16" s="67">
        <f t="shared" si="9"/>
        <v>0</v>
      </c>
      <c r="O16" s="67">
        <f t="shared" si="9"/>
        <v>0</v>
      </c>
      <c r="P16" s="67">
        <f t="shared" si="9"/>
        <v>0</v>
      </c>
      <c r="Q16" s="67">
        <f t="shared" si="9"/>
        <v>0</v>
      </c>
      <c r="R16" s="67">
        <f t="shared" si="9"/>
        <v>0</v>
      </c>
      <c r="S16" s="67">
        <f t="shared" si="9"/>
        <v>0</v>
      </c>
      <c r="T16" s="67">
        <f t="shared" si="9"/>
        <v>0</v>
      </c>
      <c r="U16" s="67">
        <f t="shared" si="9"/>
        <v>0</v>
      </c>
      <c r="V16" s="67">
        <f t="shared" si="9"/>
        <v>0</v>
      </c>
      <c r="W16" s="67">
        <f t="shared" si="9"/>
        <v>0</v>
      </c>
      <c r="X16" s="67">
        <f t="shared" ref="X16:AC16" si="10">SUM(X17:X18)</f>
        <v>0</v>
      </c>
      <c r="Y16" s="67">
        <f t="shared" si="10"/>
        <v>0</v>
      </c>
      <c r="Z16" s="67">
        <f t="shared" si="10"/>
        <v>0</v>
      </c>
      <c r="AA16" s="67">
        <f t="shared" si="10"/>
        <v>0</v>
      </c>
      <c r="AB16" s="67">
        <f t="shared" si="10"/>
        <v>0</v>
      </c>
      <c r="AC16" s="67">
        <f t="shared" si="10"/>
        <v>0</v>
      </c>
    </row>
    <row r="17" spans="1:29">
      <c r="A17" s="42" t="s">
        <v>814</v>
      </c>
      <c r="B17" s="91" t="s">
        <v>815</v>
      </c>
      <c r="C17" s="45"/>
      <c r="D17" s="45"/>
      <c r="E17" s="45"/>
      <c r="F17" s="67"/>
      <c r="G17" s="67"/>
      <c r="H17" s="67"/>
      <c r="I17" s="67"/>
      <c r="J17" s="67"/>
      <c r="K17" s="67"/>
      <c r="L17" s="67"/>
      <c r="M17" s="67"/>
      <c r="N17" s="67"/>
      <c r="O17" s="67"/>
      <c r="P17" s="67"/>
      <c r="Q17" s="67"/>
      <c r="R17" s="67"/>
      <c r="S17" s="67"/>
      <c r="T17" s="67"/>
      <c r="U17" s="67"/>
      <c r="V17" s="67"/>
      <c r="W17" s="67"/>
      <c r="X17" s="67"/>
      <c r="Y17" s="67"/>
      <c r="Z17" s="67"/>
      <c r="AA17" s="67"/>
      <c r="AB17" s="67"/>
      <c r="AC17" s="67"/>
    </row>
    <row r="18" spans="1:29">
      <c r="A18" s="42" t="s">
        <v>816</v>
      </c>
      <c r="B18" s="91" t="s">
        <v>163</v>
      </c>
      <c r="C18" s="45"/>
      <c r="D18" s="45"/>
      <c r="E18" s="45"/>
      <c r="F18" s="67"/>
      <c r="G18" s="67"/>
      <c r="H18" s="67"/>
      <c r="I18" s="67"/>
      <c r="J18" s="67"/>
      <c r="K18" s="67"/>
      <c r="L18" s="67"/>
      <c r="M18" s="67"/>
      <c r="N18" s="67"/>
      <c r="O18" s="67"/>
      <c r="P18" s="67"/>
      <c r="Q18" s="67"/>
      <c r="R18" s="67"/>
      <c r="S18" s="67"/>
      <c r="T18" s="67"/>
      <c r="U18" s="67"/>
      <c r="V18" s="67"/>
      <c r="W18" s="67"/>
      <c r="X18" s="67"/>
      <c r="Y18" s="67"/>
      <c r="Z18" s="67"/>
      <c r="AA18" s="67"/>
      <c r="AB18" s="67"/>
      <c r="AC18" s="67"/>
    </row>
    <row r="19" spans="1:29">
      <c r="A19" s="42">
        <v>2.2</v>
      </c>
      <c r="B19" s="91" t="s">
        <v>817</v>
      </c>
      <c r="C19" s="45">
        <f>还本付息!D18</f>
        <v>186513.150001182</v>
      </c>
      <c r="D19" s="45">
        <f>还本付息!E18</f>
        <v>174078.940001104</v>
      </c>
      <c r="E19" s="45">
        <f>还本付息!F18</f>
        <v>161644.730001025</v>
      </c>
      <c r="F19" s="45">
        <f>还本付息!G18</f>
        <v>149210.520000946</v>
      </c>
      <c r="G19" s="45">
        <f>还本付息!H18</f>
        <v>136776.310000867</v>
      </c>
      <c r="H19" s="45">
        <f>还本付息!I18</f>
        <v>124342.100000788</v>
      </c>
      <c r="I19" s="45">
        <f>还本付息!J18</f>
        <v>111907.890000709</v>
      </c>
      <c r="J19" s="45">
        <f>还本付息!K18</f>
        <v>99473.6800006306</v>
      </c>
      <c r="K19" s="45">
        <f>还本付息!L18</f>
        <v>87039.4700005518</v>
      </c>
      <c r="L19" s="45">
        <f>还本付息!M18</f>
        <v>74605.2600004729</v>
      </c>
      <c r="M19" s="45">
        <f>还本付息!N18</f>
        <v>62171.0500003941</v>
      </c>
      <c r="N19" s="45">
        <f>还本付息!O18</f>
        <v>49736.8400003153</v>
      </c>
      <c r="O19" s="45">
        <f>还本付息!P18</f>
        <v>37302.6300002364</v>
      </c>
      <c r="P19" s="45">
        <f>还本付息!Q18</f>
        <v>24868.4200001576</v>
      </c>
      <c r="Q19" s="45">
        <f>还本付息!R18</f>
        <v>12434.2100000788</v>
      </c>
      <c r="R19" s="45">
        <f>还本付息!S18</f>
        <v>-4.72937244921923e-11</v>
      </c>
      <c r="S19" s="45">
        <f>还本付息!T18</f>
        <v>-4.72937244921923e-11</v>
      </c>
      <c r="T19" s="45">
        <f>还本付息!U18</f>
        <v>-4.72937244921923e-11</v>
      </c>
      <c r="U19" s="45">
        <f>还本付息!V18</f>
        <v>-4.72937244921923e-11</v>
      </c>
      <c r="V19" s="45">
        <f>还本付息!W18</f>
        <v>-4.72937244921923e-11</v>
      </c>
      <c r="W19" s="45">
        <f>还本付息!X18</f>
        <v>-4.72937244921923e-11</v>
      </c>
      <c r="X19" s="45">
        <f>还本付息!Y18</f>
        <v>-4.72937244921923e-11</v>
      </c>
      <c r="Y19" s="45">
        <f>还本付息!Z18</f>
        <v>-4.72937244921923e-11</v>
      </c>
      <c r="Z19" s="45">
        <f>还本付息!AA18</f>
        <v>-4.72937244921923e-11</v>
      </c>
      <c r="AA19" s="45">
        <f>还本付息!AB18</f>
        <v>-4.72937244921923e-11</v>
      </c>
      <c r="AB19" s="45">
        <f>还本付息!AC18</f>
        <v>-4.72937244921923e-11</v>
      </c>
      <c r="AC19" s="45">
        <f>还本付息!AD18</f>
        <v>-4.72937244921923e-11</v>
      </c>
    </row>
    <row r="20" spans="1:29">
      <c r="A20" s="42">
        <v>2.3</v>
      </c>
      <c r="B20" s="91" t="s">
        <v>818</v>
      </c>
      <c r="C20" s="45"/>
      <c r="D20" s="45">
        <f>还本付息!E21</f>
        <v>0</v>
      </c>
      <c r="E20" s="45">
        <f>还本付息!F21</f>
        <v>0</v>
      </c>
      <c r="F20" s="45">
        <f>还本付息!G21</f>
        <v>0</v>
      </c>
      <c r="G20" s="45">
        <f>还本付息!H21</f>
        <v>0</v>
      </c>
      <c r="H20" s="45">
        <f>还本付息!I21</f>
        <v>0</v>
      </c>
      <c r="I20" s="45">
        <f>还本付息!J21</f>
        <v>0</v>
      </c>
      <c r="J20" s="45">
        <f>还本付息!K21</f>
        <v>0</v>
      </c>
      <c r="K20" s="45">
        <f>还本付息!L21</f>
        <v>0</v>
      </c>
      <c r="L20" s="45">
        <f>还本付息!M21</f>
        <v>0</v>
      </c>
      <c r="M20" s="45">
        <f>还本付息!N21</f>
        <v>0</v>
      </c>
      <c r="N20" s="45">
        <f>还本付息!O21</f>
        <v>0</v>
      </c>
      <c r="O20" s="45">
        <f>还本付息!P21</f>
        <v>0</v>
      </c>
      <c r="P20" s="45">
        <f>还本付息!Q21</f>
        <v>0</v>
      </c>
      <c r="Q20" s="45">
        <f>还本付息!R21</f>
        <v>0</v>
      </c>
      <c r="R20" s="45">
        <f>还本付息!S21</f>
        <v>0</v>
      </c>
      <c r="S20" s="45">
        <f>还本付息!T21</f>
        <v>0</v>
      </c>
      <c r="T20" s="45">
        <f>还本付息!U21</f>
        <v>0</v>
      </c>
      <c r="U20" s="45">
        <f>还本付息!V21</f>
        <v>0</v>
      </c>
      <c r="V20" s="45">
        <f>还本付息!W21</f>
        <v>0</v>
      </c>
      <c r="W20" s="45">
        <f>还本付息!X21</f>
        <v>0</v>
      </c>
      <c r="X20" s="45">
        <f>还本付息!Y21</f>
        <v>0</v>
      </c>
      <c r="Y20" s="45">
        <f>还本付息!Z21</f>
        <v>0</v>
      </c>
      <c r="Z20" s="45">
        <f>还本付息!AA21</f>
        <v>0</v>
      </c>
      <c r="AA20" s="45">
        <f>还本付息!AB21</f>
        <v>0</v>
      </c>
      <c r="AB20" s="45">
        <f>还本付息!AC21</f>
        <v>0</v>
      </c>
      <c r="AC20" s="45">
        <f>还本付息!AD21</f>
        <v>0</v>
      </c>
    </row>
    <row r="21" spans="1:29">
      <c r="A21" s="42"/>
      <c r="B21" s="91" t="s">
        <v>819</v>
      </c>
      <c r="C21" s="45">
        <f t="shared" ref="C21:AC21" si="11">SUM(C16,C19:C20)</f>
        <v>186513.150001182</v>
      </c>
      <c r="D21" s="45">
        <f t="shared" si="11"/>
        <v>174078.940001104</v>
      </c>
      <c r="E21" s="45">
        <f t="shared" si="11"/>
        <v>161644.730001025</v>
      </c>
      <c r="F21" s="45">
        <f t="shared" si="11"/>
        <v>149210.520000946</v>
      </c>
      <c r="G21" s="45">
        <f t="shared" si="11"/>
        <v>136776.310000867</v>
      </c>
      <c r="H21" s="45">
        <f t="shared" si="11"/>
        <v>124342.100000788</v>
      </c>
      <c r="I21" s="45">
        <f t="shared" si="11"/>
        <v>111907.890000709</v>
      </c>
      <c r="J21" s="45">
        <f t="shared" si="11"/>
        <v>99473.6800006306</v>
      </c>
      <c r="K21" s="45">
        <f t="shared" si="11"/>
        <v>87039.4700005518</v>
      </c>
      <c r="L21" s="45">
        <f t="shared" si="11"/>
        <v>74605.2600004729</v>
      </c>
      <c r="M21" s="45">
        <f t="shared" si="11"/>
        <v>62171.0500003941</v>
      </c>
      <c r="N21" s="45">
        <f t="shared" si="11"/>
        <v>49736.8400003153</v>
      </c>
      <c r="O21" s="45">
        <f t="shared" si="11"/>
        <v>37302.6300002364</v>
      </c>
      <c r="P21" s="45">
        <f t="shared" si="11"/>
        <v>24868.4200001576</v>
      </c>
      <c r="Q21" s="45">
        <f t="shared" si="11"/>
        <v>12434.2100000788</v>
      </c>
      <c r="R21" s="45">
        <f t="shared" si="11"/>
        <v>-4.72937244921923e-11</v>
      </c>
      <c r="S21" s="45">
        <f t="shared" si="11"/>
        <v>-4.72937244921923e-11</v>
      </c>
      <c r="T21" s="45">
        <f t="shared" si="11"/>
        <v>-4.72937244921923e-11</v>
      </c>
      <c r="U21" s="45">
        <f t="shared" si="11"/>
        <v>-4.72937244921923e-11</v>
      </c>
      <c r="V21" s="45">
        <f t="shared" si="11"/>
        <v>-4.72937244921923e-11</v>
      </c>
      <c r="W21" s="45">
        <f t="shared" si="11"/>
        <v>-4.72937244921923e-11</v>
      </c>
      <c r="X21" s="45">
        <f t="shared" si="11"/>
        <v>-4.72937244921923e-11</v>
      </c>
      <c r="Y21" s="45">
        <f t="shared" si="11"/>
        <v>-4.72937244921923e-11</v>
      </c>
      <c r="Z21" s="45">
        <f t="shared" si="11"/>
        <v>-4.72937244921923e-11</v>
      </c>
      <c r="AA21" s="45">
        <f t="shared" si="11"/>
        <v>-4.72937244921923e-11</v>
      </c>
      <c r="AB21" s="45">
        <f t="shared" si="11"/>
        <v>-4.72937244921923e-11</v>
      </c>
      <c r="AC21" s="45">
        <f t="shared" si="11"/>
        <v>-4.72937244921923e-11</v>
      </c>
    </row>
    <row r="22" spans="1:29">
      <c r="A22" s="42">
        <v>2.4</v>
      </c>
      <c r="B22" s="91" t="s">
        <v>820</v>
      </c>
      <c r="C22" s="45">
        <f>SUM(C23:C26)</f>
        <v>81434.2071433639</v>
      </c>
      <c r="D22" s="45">
        <f t="shared" ref="D22:F22" si="12">SUM(D23:D27)</f>
        <v>99958.465641118</v>
      </c>
      <c r="E22" s="45">
        <f t="shared" si="12"/>
        <v>118532.269686</v>
      </c>
      <c r="F22" s="45">
        <f t="shared" si="12"/>
        <v>137379.854604161</v>
      </c>
      <c r="G22" s="67">
        <f t="shared" ref="D22:M22" si="13">SUM(G23:G26)</f>
        <v>156501.218418026</v>
      </c>
      <c r="H22" s="67">
        <f t="shared" si="13"/>
        <v>175896.359148045</v>
      </c>
      <c r="I22" s="67">
        <f t="shared" si="13"/>
        <v>195312.149823398</v>
      </c>
      <c r="J22" s="67">
        <f t="shared" si="13"/>
        <v>215001.71344986</v>
      </c>
      <c r="K22" s="67">
        <f t="shared" si="13"/>
        <v>234965.048041935</v>
      </c>
      <c r="L22" s="67">
        <f t="shared" si="13"/>
        <v>255202.15161214</v>
      </c>
      <c r="M22" s="67">
        <f t="shared" si="13"/>
        <v>273661.935115119</v>
      </c>
      <c r="N22" s="67">
        <f t="shared" ref="N22:W22" si="14">SUM(N23:N26)</f>
        <v>292140.294625222</v>
      </c>
      <c r="O22" s="67">
        <f t="shared" si="14"/>
        <v>310865.040838702</v>
      </c>
      <c r="P22" s="67">
        <f t="shared" si="14"/>
        <v>329836.171959659</v>
      </c>
      <c r="Q22" s="67">
        <f t="shared" si="14"/>
        <v>349053.686190399</v>
      </c>
      <c r="R22" s="67">
        <f t="shared" si="14"/>
        <v>368517.581731427</v>
      </c>
      <c r="S22" s="67">
        <f t="shared" si="14"/>
        <v>388000.044291094</v>
      </c>
      <c r="T22" s="67">
        <f t="shared" si="14"/>
        <v>407346.159572861</v>
      </c>
      <c r="U22" s="67">
        <f t="shared" si="14"/>
        <v>426555.925771832</v>
      </c>
      <c r="V22" s="67">
        <f t="shared" si="14"/>
        <v>445629.341081305</v>
      </c>
      <c r="W22" s="67">
        <f t="shared" si="14"/>
        <v>464566.403692772</v>
      </c>
      <c r="X22" s="67">
        <f t="shared" ref="X22:AC22" si="15">SUM(X23:X26)</f>
        <v>491796.173939183</v>
      </c>
      <c r="Y22" s="67">
        <f t="shared" si="15"/>
        <v>518889.587865143</v>
      </c>
      <c r="Z22" s="67">
        <f t="shared" si="15"/>
        <v>545846.643656713</v>
      </c>
      <c r="AA22" s="67">
        <f t="shared" si="15"/>
        <v>572667.339498139</v>
      </c>
      <c r="AB22" s="67">
        <f t="shared" si="15"/>
        <v>599351.673571853</v>
      </c>
      <c r="AC22" s="67">
        <f t="shared" si="15"/>
        <v>0</v>
      </c>
    </row>
    <row r="23" spans="1:29">
      <c r="A23" s="42" t="s">
        <v>821</v>
      </c>
      <c r="B23" s="91" t="s">
        <v>822</v>
      </c>
      <c r="C23" s="45">
        <f>IF(C5-ConstructPeriod&lt;=OperationPeriod,资金筹措!$C$12,0)</f>
        <v>81434.2071433639</v>
      </c>
      <c r="D23" s="45">
        <f>IF(D5-ConstructPeriod&lt;=OperationPeriod,IF(ConstructPeriod=1,资金筹措!$C$12,资金筹措!$C$12+资金筹措!$D$12),0)</f>
        <v>81434.2071433639</v>
      </c>
      <c r="E23" s="45">
        <f>IF(E5-ConstructPeriod&lt;=OperationPeriod,IF(ConstructPeriod=1,资金筹措!$C$12,资金筹措!$C$12+资金筹措!$D$12),0)</f>
        <v>81434.2071433639</v>
      </c>
      <c r="F23" s="45">
        <f>IF(F5-ConstructPeriod&lt;=OperationPeriod,IF(ConstructPeriod=1,资金筹措!$C$12,资金筹措!$C$12+资金筹措!$D$12),0)</f>
        <v>81434.2071433639</v>
      </c>
      <c r="G23" s="45">
        <f>IF(G5-ConstructPeriod&lt;=OperationPeriod,IF(ConstructPeriod=1,资金筹措!$C$12,资金筹措!$C$12+资金筹措!$D$12),0)</f>
        <v>81434.2071433639</v>
      </c>
      <c r="H23" s="45">
        <f>IF(H5-ConstructPeriod&lt;=OperationPeriod,IF(ConstructPeriod=1,资金筹措!$C$12,资金筹措!$C$12+资金筹措!$D$12),0)</f>
        <v>81434.2071433639</v>
      </c>
      <c r="I23" s="45">
        <f>IF(I5-ConstructPeriod&lt;=OperationPeriod,IF(ConstructPeriod=1,资金筹措!$C$12,资金筹措!$C$12+资金筹措!$D$12),0)</f>
        <v>81434.2071433639</v>
      </c>
      <c r="J23" s="45">
        <f>IF(J5-ConstructPeriod&lt;=OperationPeriod,IF(ConstructPeriod=1,资金筹措!$C$12,资金筹措!$C$12+资金筹措!$D$12),0)</f>
        <v>81434.2071433639</v>
      </c>
      <c r="K23" s="45">
        <f>IF(K5-ConstructPeriod&lt;=OperationPeriod,IF(ConstructPeriod=1,资金筹措!$C$12,资金筹措!$C$12+资金筹措!$D$12),0)</f>
        <v>81434.2071433639</v>
      </c>
      <c r="L23" s="45">
        <f>IF(L5-ConstructPeriod&lt;=OperationPeriod,IF(ConstructPeriod=1,资金筹措!$C$12,资金筹措!$C$12+资金筹措!$D$12),0)</f>
        <v>81434.2071433639</v>
      </c>
      <c r="M23" s="45">
        <f>IF(M5-ConstructPeriod&lt;=OperationPeriod,IF(ConstructPeriod=1,资金筹措!$C$12,资金筹措!$C$12+资金筹措!$D$12),0)</f>
        <v>81434.2071433639</v>
      </c>
      <c r="N23" s="45">
        <f>IF(N5-ConstructPeriod&lt;=OperationPeriod,IF(ConstructPeriod=1,资金筹措!$C$12,资金筹措!$C$12+资金筹措!$D$12),0)</f>
        <v>81434.2071433639</v>
      </c>
      <c r="O23" s="45">
        <f>IF(O5-ConstructPeriod&lt;=OperationPeriod,IF(ConstructPeriod=1,资金筹措!$C$12,资金筹措!$C$12+资金筹措!$D$12),0)</f>
        <v>81434.2071433639</v>
      </c>
      <c r="P23" s="45">
        <f>IF(P5-ConstructPeriod&lt;=OperationPeriod,IF(ConstructPeriod=1,资金筹措!$C$12,资金筹措!$C$12+资金筹措!$D$12),0)</f>
        <v>81434.2071433639</v>
      </c>
      <c r="Q23" s="45">
        <f>IF(Q5-ConstructPeriod&lt;=OperationPeriod,IF(ConstructPeriod=1,资金筹措!$C$12,资金筹措!$C$12+资金筹措!$D$12),0)</f>
        <v>81434.2071433639</v>
      </c>
      <c r="R23" s="45">
        <f>IF(R5-ConstructPeriod&lt;=OperationPeriod,IF(ConstructPeriod=1,资金筹措!$C$12,资金筹措!$C$12+资金筹措!$D$12),0)</f>
        <v>81434.2071433639</v>
      </c>
      <c r="S23" s="45">
        <f>IF(S5-ConstructPeriod&lt;=OperationPeriod,IF(ConstructPeriod=1,资金筹措!$C$12,资金筹措!$C$12+资金筹措!$D$12),0)</f>
        <v>81434.2071433639</v>
      </c>
      <c r="T23" s="45">
        <f>IF(T5-ConstructPeriod&lt;=OperationPeriod,IF(ConstructPeriod=1,资金筹措!$C$12,资金筹措!$C$12+资金筹措!$D$12),0)</f>
        <v>81434.2071433639</v>
      </c>
      <c r="U23" s="45">
        <f>IF(U5-ConstructPeriod&lt;=OperationPeriod,IF(ConstructPeriod=1,资金筹措!$C$12,资金筹措!$C$12+资金筹措!$D$12),0)</f>
        <v>81434.2071433639</v>
      </c>
      <c r="V23" s="45">
        <f>IF(V5-ConstructPeriod&lt;=OperationPeriod,IF(ConstructPeriod=1,资金筹措!$C$12,资金筹措!$C$12+资金筹措!$D$12),0)</f>
        <v>81434.2071433639</v>
      </c>
      <c r="W23" s="45">
        <f>IF(W5-ConstructPeriod&lt;=OperationPeriod,IF(ConstructPeriod=1,资金筹措!$C$12,资金筹措!$C$12+资金筹措!$D$12),0)</f>
        <v>81434.2071433639</v>
      </c>
      <c r="X23" s="45">
        <f>IF(X5-ConstructPeriod&lt;=OperationPeriod,IF(ConstructPeriod=1,资金筹措!$C$12,资金筹措!$C$12+资金筹措!$D$12),0)</f>
        <v>81434.2071433639</v>
      </c>
      <c r="Y23" s="45">
        <f>IF(Y5-ConstructPeriod&lt;=OperationPeriod,IF(ConstructPeriod=1,资金筹措!$C$12,资金筹措!$C$12+资金筹措!$D$12),0)</f>
        <v>81434.2071433639</v>
      </c>
      <c r="Z23" s="45">
        <f>IF(Z5-ConstructPeriod&lt;=OperationPeriod,IF(ConstructPeriod=1,资金筹措!$C$12,资金筹措!$C$12+资金筹措!$D$12),0)</f>
        <v>81434.2071433639</v>
      </c>
      <c r="AA23" s="45">
        <f>IF(AA5-ConstructPeriod&lt;=OperationPeriod,IF(ConstructPeriod=1,资金筹措!$C$12,资金筹措!$C$12+资金筹措!$D$12),0)</f>
        <v>81434.2071433639</v>
      </c>
      <c r="AB23" s="45">
        <f>IF(AB5-ConstructPeriod&lt;=OperationPeriod,IF(ConstructPeriod=1,资金筹措!$C$12,资金筹措!$C$12+资金筹措!$D$12),0)</f>
        <v>81434.2071433639</v>
      </c>
      <c r="AC23" s="45">
        <f>IF(AC5-ConstructPeriod&lt;=OperationPeriod,IF(ConstructPeriod=1,资金筹措!$C$12,资金筹措!$C$12+资金筹措!$D$12),0)</f>
        <v>0</v>
      </c>
    </row>
    <row r="24" spans="1:29">
      <c r="A24" s="42" t="s">
        <v>823</v>
      </c>
      <c r="B24" s="91" t="s">
        <v>824</v>
      </c>
      <c r="C24" s="45"/>
      <c r="D24" s="45"/>
      <c r="E24" s="45"/>
      <c r="F24" s="67"/>
      <c r="G24" s="67"/>
      <c r="H24" s="67"/>
      <c r="I24" s="67"/>
      <c r="J24" s="67"/>
      <c r="K24" s="67"/>
      <c r="L24" s="67"/>
      <c r="M24" s="67"/>
      <c r="N24" s="67"/>
      <c r="O24" s="67"/>
      <c r="P24" s="67"/>
      <c r="Q24" s="67"/>
      <c r="R24" s="67"/>
      <c r="S24" s="67"/>
      <c r="T24" s="67"/>
      <c r="U24" s="67"/>
      <c r="V24" s="67"/>
      <c r="W24" s="67"/>
      <c r="X24" s="67"/>
      <c r="Y24" s="67"/>
      <c r="Z24" s="67"/>
      <c r="AA24" s="67"/>
      <c r="AB24" s="67"/>
      <c r="AC24" s="67"/>
    </row>
    <row r="25" spans="1:29">
      <c r="A25" s="42" t="s">
        <v>825</v>
      </c>
      <c r="B25" s="112" t="s">
        <v>826</v>
      </c>
      <c r="C25" s="45">
        <f>损益表!D18</f>
        <v>0</v>
      </c>
      <c r="D25" s="45">
        <f>IF(D5-ConstructPeriod&lt;=OperationPeriod,C25+损益表!E18,0)</f>
        <v>1949.92194713201</v>
      </c>
      <c r="E25" s="45">
        <f>IF(E5-ConstructPeriod&lt;=OperationPeriod,D25+损益表!F18,0)</f>
        <v>3905.05921501431</v>
      </c>
      <c r="F25" s="45">
        <f>IF(F5-ConstructPeriod&lt;=OperationPeriod,E25+损益表!G18,0)</f>
        <v>5889.01552218914</v>
      </c>
      <c r="G25" s="45">
        <f>IF(G5-ConstructPeriod&lt;=OperationPeriod,F25+损益表!H18,0)</f>
        <v>7901.7906604908</v>
      </c>
      <c r="H25" s="45">
        <f>IF(H5-ConstructPeriod&lt;=OperationPeriod,G25+损益表!I18,0)</f>
        <v>9943.3844215454</v>
      </c>
      <c r="I25" s="45">
        <f>IF(I5-ConstructPeriod&lt;=OperationPeriod,H25+损益表!J18,0)</f>
        <v>11987.1518610563</v>
      </c>
      <c r="J25" s="45">
        <f>IF(J5-ConstructPeriod&lt;=OperationPeriod,I25+损益表!K18,0)</f>
        <v>14059.737505947</v>
      </c>
      <c r="K25" s="45">
        <f>IF(K5-ConstructPeriod&lt;=OperationPeriod,J25+损益表!L18,0)</f>
        <v>16161.141147218</v>
      </c>
      <c r="L25" s="45">
        <f>IF(L5-ConstructPeriod&lt;=OperationPeriod,K25+损益表!M18,0)</f>
        <v>18291.3625756606</v>
      </c>
      <c r="M25" s="45">
        <f>IF(M5-ConstructPeriod&lt;=OperationPeriod,L25+损益表!N18,0)</f>
        <v>20234.4976812374</v>
      </c>
      <c r="N25" s="45">
        <f>IF(N5-ConstructPeriod&lt;=OperationPeriod,M25+损益表!O18,0)</f>
        <v>22179.5881559851</v>
      </c>
      <c r="O25" s="45">
        <f>IF(O5-ConstructPeriod&lt;=OperationPeriod,N25+损益表!P18,0)</f>
        <v>24150.6140731935</v>
      </c>
      <c r="P25" s="45">
        <f>IF(P5-ConstructPeriod&lt;=OperationPeriod,O25+损益表!Q18,0)</f>
        <v>26147.5752438206</v>
      </c>
      <c r="Q25" s="45">
        <f>IF(Q5-ConstructPeriod&lt;=OperationPeriod,P25+损益表!R18,0)</f>
        <v>28170.4714786352</v>
      </c>
      <c r="R25" s="45">
        <f>IF(R5-ConstructPeriod&lt;=OperationPeriod,Q25+损益表!S18,0)</f>
        <v>30219.3025882172</v>
      </c>
      <c r="S25" s="45">
        <f>IF(S5-ConstructPeriod&lt;=OperationPeriod,R25+损益表!T18,0)</f>
        <v>32270.0881208137</v>
      </c>
      <c r="T25" s="45">
        <f>IF(T5-ConstructPeriod&lt;=OperationPeriod,S25+损益表!U18,0)</f>
        <v>34306.5213083682</v>
      </c>
      <c r="U25" s="45">
        <f>IF(U5-ConstructPeriod&lt;=OperationPeriod,T25+损益表!V18,0)</f>
        <v>36328.6019608914</v>
      </c>
      <c r="V25" s="45">
        <f>IF(V5-ConstructPeriod&lt;=OperationPeriod,U25+损益表!W18,0)</f>
        <v>38336.3298882044</v>
      </c>
      <c r="W25" s="45">
        <f>IF(W5-ConstructPeriod&lt;=OperationPeriod,V25+损益表!X18,0)</f>
        <v>40329.7048999377</v>
      </c>
      <c r="X25" s="45">
        <f>IF(X5-ConstructPeriod&lt;=OperationPeriod,W25+损益表!Y18,0)</f>
        <v>40329.7048999377</v>
      </c>
      <c r="Y25" s="45">
        <f>IF(Y5-ConstructPeriod&lt;=OperationPeriod,X25+损益表!Z18,0)</f>
        <v>40329.7048999377</v>
      </c>
      <c r="Z25" s="45">
        <f>IF(Z5-ConstructPeriod&lt;=OperationPeriod,Y25+损益表!AA18,0)</f>
        <v>40329.7048999377</v>
      </c>
      <c r="AA25" s="45">
        <f>IF(AA5-ConstructPeriod&lt;=OperationPeriod,Z25+损益表!AB18,0)</f>
        <v>40329.7048999377</v>
      </c>
      <c r="AB25" s="45">
        <f>IF(AB5-ConstructPeriod&lt;=OperationPeriod,AA25+损益表!AC18,0)</f>
        <v>40329.7048999377</v>
      </c>
      <c r="AC25" s="45">
        <f>IF(AC5-ConstructPeriod&lt;=OperationPeriod,AB25+损益表!AD18,0)</f>
        <v>0</v>
      </c>
    </row>
    <row r="26" spans="1:29">
      <c r="A26" s="42" t="s">
        <v>827</v>
      </c>
      <c r="B26" s="91" t="s">
        <v>828</v>
      </c>
      <c r="C26" s="45">
        <f>损益表!D25</f>
        <v>0</v>
      </c>
      <c r="D26" s="45">
        <f>损益表!E25</f>
        <v>16574.3365506221</v>
      </c>
      <c r="E26" s="45">
        <f>损益表!F25</f>
        <v>33193.0033276216</v>
      </c>
      <c r="F26" s="67">
        <f>损益表!G25</f>
        <v>50056.6319386077</v>
      </c>
      <c r="G26" s="67">
        <f>损益表!H25</f>
        <v>67165.2206141718</v>
      </c>
      <c r="H26" s="67">
        <f>损益表!I25</f>
        <v>84518.767583136</v>
      </c>
      <c r="I26" s="67">
        <f>损益表!J25</f>
        <v>101890.790818978</v>
      </c>
      <c r="J26" s="67">
        <f>损益表!K25</f>
        <v>119507.76880055</v>
      </c>
      <c r="K26" s="67">
        <f>损益表!L25</f>
        <v>137369.699751353</v>
      </c>
      <c r="L26" s="67">
        <f>损益表!M25</f>
        <v>155476.581893115</v>
      </c>
      <c r="M26" s="67">
        <f>损益表!N25</f>
        <v>171993.230290518</v>
      </c>
      <c r="N26" s="67">
        <f>损益表!O25</f>
        <v>188526.499325873</v>
      </c>
      <c r="O26" s="67">
        <f>损益表!P25</f>
        <v>205280.219622145</v>
      </c>
      <c r="P26" s="67">
        <f>损益表!Q25</f>
        <v>222254.389572475</v>
      </c>
      <c r="Q26" s="67">
        <f>损益表!R25</f>
        <v>239449.0075684</v>
      </c>
      <c r="R26" s="67">
        <f>损益表!S25</f>
        <v>256864.071999846</v>
      </c>
      <c r="S26" s="67">
        <f>损益表!T25</f>
        <v>274295.749026917</v>
      </c>
      <c r="T26" s="67">
        <f>损益表!U25</f>
        <v>291605.431121129</v>
      </c>
      <c r="U26" s="67">
        <f>损益表!V25</f>
        <v>308793.116667577</v>
      </c>
      <c r="V26" s="67">
        <f>损益表!W25</f>
        <v>325858.804049737</v>
      </c>
      <c r="W26" s="67">
        <f>损益表!X25</f>
        <v>342802.49164947</v>
      </c>
      <c r="X26" s="67">
        <f>损益表!Y25</f>
        <v>370032.261895881</v>
      </c>
      <c r="Y26" s="67">
        <f>损益表!Z25</f>
        <v>397125.675821841</v>
      </c>
      <c r="Z26" s="67">
        <f>损益表!AA25</f>
        <v>424082.731613411</v>
      </c>
      <c r="AA26" s="67">
        <f>损益表!AB25</f>
        <v>450903.427454838</v>
      </c>
      <c r="AB26" s="67">
        <f>损益表!AC25</f>
        <v>477587.761528551</v>
      </c>
      <c r="AC26" s="67">
        <f>损益表!AD25</f>
        <v>0</v>
      </c>
    </row>
    <row r="27" spans="1:29">
      <c r="A27" s="42" t="s">
        <v>829</v>
      </c>
      <c r="B27" s="91"/>
      <c r="C27" s="45">
        <f>损益表!D19</f>
        <v>0</v>
      </c>
      <c r="D27" s="45"/>
      <c r="E27" s="45"/>
      <c r="F27" s="45"/>
      <c r="G27" s="67"/>
      <c r="H27" s="67"/>
      <c r="I27" s="67"/>
      <c r="J27" s="67"/>
      <c r="K27" s="67"/>
      <c r="L27" s="67"/>
      <c r="M27" s="67"/>
      <c r="N27" s="67"/>
      <c r="O27" s="67"/>
      <c r="P27" s="67"/>
      <c r="Q27" s="67"/>
      <c r="R27" s="67"/>
      <c r="S27" s="67"/>
      <c r="T27" s="67"/>
      <c r="U27" s="67"/>
      <c r="V27" s="67"/>
      <c r="W27" s="67"/>
      <c r="X27" s="67"/>
      <c r="Y27" s="67"/>
      <c r="Z27" s="67"/>
      <c r="AA27" s="67"/>
      <c r="AB27" s="67"/>
      <c r="AC27" s="67"/>
    </row>
    <row r="28" spans="1:29">
      <c r="A28" s="42"/>
      <c r="B28" s="91"/>
      <c r="C28" s="85"/>
      <c r="D28" s="85"/>
      <c r="E28" s="85"/>
      <c r="F28" s="87"/>
      <c r="G28" s="87"/>
      <c r="H28" s="87"/>
      <c r="I28" s="87"/>
      <c r="J28" s="87"/>
      <c r="K28" s="87"/>
      <c r="L28" s="87"/>
      <c r="M28" s="87"/>
      <c r="N28" s="87"/>
      <c r="O28" s="87"/>
      <c r="P28" s="87"/>
      <c r="Q28" s="87"/>
      <c r="R28" s="87"/>
      <c r="S28" s="87"/>
      <c r="T28" s="87"/>
      <c r="U28" s="87"/>
      <c r="V28" s="87"/>
      <c r="W28" s="87"/>
      <c r="X28" s="87"/>
      <c r="Y28" s="87"/>
      <c r="Z28" s="87"/>
      <c r="AA28" s="87"/>
      <c r="AB28" s="87"/>
      <c r="AC28" s="87"/>
    </row>
    <row r="29" spans="1:29">
      <c r="A29" s="42"/>
      <c r="B29" s="91" t="s">
        <v>778</v>
      </c>
      <c r="C29" s="85"/>
      <c r="D29" s="85"/>
      <c r="E29" s="85"/>
      <c r="F29" s="87"/>
      <c r="G29" s="87"/>
      <c r="H29" s="87"/>
      <c r="I29" s="87"/>
      <c r="J29" s="87"/>
      <c r="K29" s="87"/>
      <c r="L29" s="87"/>
      <c r="M29" s="87"/>
      <c r="N29" s="87"/>
      <c r="O29" s="87"/>
      <c r="P29" s="87"/>
      <c r="Q29" s="87"/>
      <c r="R29" s="87"/>
      <c r="S29" s="87"/>
      <c r="T29" s="87"/>
      <c r="U29" s="87"/>
      <c r="V29" s="87"/>
      <c r="W29" s="87"/>
      <c r="X29" s="87"/>
      <c r="Y29" s="87"/>
      <c r="Z29" s="87"/>
      <c r="AA29" s="87"/>
      <c r="AB29" s="87"/>
      <c r="AC29" s="87"/>
    </row>
    <row r="30" spans="1:29">
      <c r="A30" s="42"/>
      <c r="B30" s="91" t="s">
        <v>830</v>
      </c>
      <c r="C30" s="85">
        <f>IF(C6&lt;=0,0,C21/C6*100)</f>
        <v>69.6081319811512</v>
      </c>
      <c r="D30" s="85">
        <f ca="1" t="shared" ref="D30:AC30" si="16">IF(D6&lt;=0,0,D21/D6*100)</f>
        <v>63.5237877811389</v>
      </c>
      <c r="E30" s="85">
        <f ca="1" t="shared" si="16"/>
        <v>57.6937900618509</v>
      </c>
      <c r="F30" s="85">
        <f ca="1" t="shared" si="16"/>
        <v>52.0640374634156</v>
      </c>
      <c r="G30" s="85">
        <f ca="1" t="shared" si="16"/>
        <v>46.6371599413873</v>
      </c>
      <c r="H30" s="85">
        <f ca="1" t="shared" si="16"/>
        <v>41.4144478203406</v>
      </c>
      <c r="I30" s="85">
        <f ca="1" t="shared" si="16"/>
        <v>36.4259734048533</v>
      </c>
      <c r="J30" s="85">
        <f ca="1" t="shared" si="16"/>
        <v>31.6316258989882</v>
      </c>
      <c r="K30" s="85">
        <f ca="1" t="shared" si="16"/>
        <v>27.0305120343272</v>
      </c>
      <c r="L30" s="85">
        <f ca="1" t="shared" si="16"/>
        <v>22.6208561037746</v>
      </c>
      <c r="M30" s="85">
        <f ca="1" t="shared" si="16"/>
        <v>18.5124906593108</v>
      </c>
      <c r="N30" s="85">
        <f ca="1" t="shared" si="16"/>
        <v>14.5481621796066</v>
      </c>
      <c r="O30" s="85">
        <f ca="1" t="shared" si="16"/>
        <v>10.7139844174368</v>
      </c>
      <c r="P30" s="85">
        <f ca="1" t="shared" si="16"/>
        <v>7.01102285221468</v>
      </c>
      <c r="Q30" s="85">
        <f ca="1" t="shared" si="16"/>
        <v>3.43973066072643</v>
      </c>
      <c r="R30" s="85">
        <f ca="1" t="shared" si="16"/>
        <v>-1.28335056010054e-14</v>
      </c>
      <c r="S30" s="85">
        <f ca="1" t="shared" si="16"/>
        <v>-1.21891028591508e-14</v>
      </c>
      <c r="T30" s="85">
        <f ca="1" t="shared" si="16"/>
        <v>-1.16102050751587e-14</v>
      </c>
      <c r="U30" s="85">
        <f ca="1" t="shared" si="16"/>
        <v>-1.10873443866983e-14</v>
      </c>
      <c r="V30" s="85">
        <f ca="1" t="shared" si="16"/>
        <v>-1.06127941166162e-14</v>
      </c>
      <c r="W30" s="85">
        <f ca="1" t="shared" si="16"/>
        <v>-1.01801861082207e-14</v>
      </c>
      <c r="X30" s="85">
        <f ca="1" t="shared" si="16"/>
        <v>-9.61652957024443e-15</v>
      </c>
      <c r="Y30" s="85">
        <f ca="1" t="shared" si="16"/>
        <v>-9.11441000132068e-15</v>
      </c>
      <c r="Z30" s="85">
        <f ca="1" t="shared" si="16"/>
        <v>-8.66428786212994e-15</v>
      </c>
      <c r="AA30" s="85">
        <f ca="1" t="shared" si="16"/>
        <v>-8.25849864838432e-15</v>
      </c>
      <c r="AB30" s="85">
        <f ca="1" t="shared" si="16"/>
        <v>-7.89081378722845e-15</v>
      </c>
      <c r="AC30" s="85">
        <f ca="1" t="shared" si="16"/>
        <v>0</v>
      </c>
    </row>
    <row r="31" spans="1:29">
      <c r="A31" s="51"/>
      <c r="B31" s="51" t="s">
        <v>831</v>
      </c>
      <c r="C31" s="55">
        <v>0</v>
      </c>
      <c r="D31" s="768">
        <f>IF(D22&lt;=0,0,IF(D5&lt;=ConstructPeriod,0,损益表!E14/资产负债表!D22))</f>
        <v>0.195073217123284</v>
      </c>
      <c r="E31" s="768">
        <f>IF(E22&lt;=0,0,IF(E5&lt;=ConstructPeriod,0,损益表!F14/资产负债表!E22))</f>
        <v>0.164945569089463</v>
      </c>
      <c r="F31" s="768">
        <f>IF(F22&lt;=0,0,IF(F5&lt;=ConstructPeriod,0,损益表!G14/资产负债表!F22))</f>
        <v>0.14441391810257</v>
      </c>
      <c r="G31" s="768">
        <f>IF(G22&lt;=0,0,IF(G5&lt;=ConstructPeriod,0,损益表!H14/资产负债表!G22))</f>
        <v>0.128610828634278</v>
      </c>
      <c r="H31" s="768">
        <f>IF(H22&lt;=0,0,IF(H5&lt;=ConstructPeriod,0,损益表!I14/资产负债表!H22))</f>
        <v>0.116067994297499</v>
      </c>
      <c r="I31" s="768">
        <f>IF(I22&lt;=0,0,IF(I5&lt;=ConstructPeriod,0,损益表!J14/资产负债表!I22))</f>
        <v>0.104641080514389</v>
      </c>
      <c r="J31" s="768">
        <f>IF(J22&lt;=0,0,IF(J5&lt;=ConstructPeriod,0,损益表!K14/资产负债表!J22))</f>
        <v>0.0963985640688428</v>
      </c>
      <c r="K31" s="768">
        <f>IF(K22&lt;=0,0,IF(K5&lt;=ConstructPeriod,0,损益表!L14/资产负债表!K22))</f>
        <v>0.0894347333266328</v>
      </c>
      <c r="L31" s="768">
        <f>IF(L22&lt;=0,0,IF(L5&lt;=ConstructPeriod,0,损益表!M14/资产负债表!L22))</f>
        <v>0.0834719227477427</v>
      </c>
      <c r="M31" s="768">
        <f>IF(M22&lt;=0,0,IF(M5&lt;=ConstructPeriod,0,损益表!N14/资产负债表!M22))</f>
        <v>0.0710049464774626</v>
      </c>
      <c r="N31" s="768">
        <f>IF(N22&lt;=0,0,IF(N5&lt;=ConstructPeriod,0,损益表!O14/资产负债表!N22))</f>
        <v>0.0665806980595738</v>
      </c>
      <c r="O31" s="768">
        <f>IF(O22&lt;=0,0,IF(O5&lt;=ConstructPeriod,0,损益表!P14/资产负债表!O22))</f>
        <v>0.063404553689622</v>
      </c>
      <c r="P31" s="768">
        <f>IF(P22&lt;=0,0,IF(P5&lt;=ConstructPeriod,0,损益表!Q14/资产负债表!P22))</f>
        <v>0.0605440318677758</v>
      </c>
      <c r="Q31" s="768">
        <f>IF(Q22&lt;=0,0,IF(Q5&lt;=ConstructPeriod,0,损益表!R14/资产负债表!Q22))</f>
        <v>0.0579537278890459</v>
      </c>
      <c r="R31" s="768">
        <f>IF(R22&lt;=0,0,IF(R5&lt;=ConstructPeriod,0,损益表!S14/资产负债表!R22))</f>
        <v>0.0555965633974862</v>
      </c>
      <c r="S31" s="768">
        <f>IF(S22&lt;=0,0,IF(S5&lt;=ConstructPeriod,0,损益表!T14/资产负债表!S22))</f>
        <v>0.0528552911983153</v>
      </c>
      <c r="T31" s="768">
        <f>IF(T22&lt;=0,0,IF(T5&lt;=ConstructPeriod,0,损益表!U14/资产负债表!T22))</f>
        <v>0.0499926939213036</v>
      </c>
      <c r="U31" s="768">
        <f>IF(U22&lt;=0,0,IF(U5&lt;=ConstructPeriod,0,损益表!V14/资产负债表!U22))</f>
        <v>0.047404819165609</v>
      </c>
      <c r="V31" s="768">
        <f>IF(V22&lt;=0,0,IF(V5&lt;=ConstructPeriod,0,损益表!W14/资产负债表!V22))</f>
        <v>0.0450537642436483</v>
      </c>
      <c r="W31" s="768">
        <f>IF(W22&lt;=0,0,IF(W5&lt;=ConstructPeriod,0,损益表!X14/资产负债表!W22))</f>
        <v>0.0429082903087322</v>
      </c>
      <c r="X31" s="768">
        <f>IF(X22&lt;=0,0,IF(X5&lt;=ConstructPeriod,0,损益表!Y14/资产负债表!X22))</f>
        <v>0.0582821045948153</v>
      </c>
      <c r="Y31" s="768">
        <f>IF(Y22&lt;=0,0,IF(Y5&lt;=ConstructPeriod,0,损益表!Z14/资产负债表!Y22))</f>
        <v>0.0549623344675207</v>
      </c>
      <c r="Z31" s="768">
        <f>IF(Z22&lt;=0,0,IF(Z5&lt;=ConstructPeriod,0,损益表!AA14/资产负债表!Z22))</f>
        <v>0.0519850191100531</v>
      </c>
      <c r="AA31" s="768">
        <f>IF(AA22&lt;=0,0,IF(AA5&lt;=ConstructPeriod,0,损益表!AB14/资产负债表!AA22))</f>
        <v>0.0492996709691344</v>
      </c>
      <c r="AB31" s="768">
        <f>IF(AB22&lt;=0,0,IF(AB5&lt;=ConstructPeriod,0,损益表!AC14/资产负债表!AB22))</f>
        <v>0.0468652611609086</v>
      </c>
      <c r="AC31" s="768">
        <f>IF(AC22&lt;=0,0,IF(AC5&lt;=ConstructPeriod,0,损益表!AD14/资产负债表!AC22))</f>
        <v>0</v>
      </c>
    </row>
    <row r="32" spans="1:29">
      <c r="A32" s="51"/>
      <c r="B32" s="769" t="s">
        <v>832</v>
      </c>
      <c r="C32" s="768">
        <f>SUM(C31:AC31)/(ConstructPeriod+OperationPeriod)</f>
        <v>0.0768365999394503</v>
      </c>
      <c r="D32" s="55">
        <f ca="1">D6-D15</f>
        <v>0</v>
      </c>
      <c r="E32" s="55">
        <f ca="1">E6-E15</f>
        <v>0</v>
      </c>
      <c r="F32" s="55">
        <f ca="1">F6-F15</f>
        <v>0</v>
      </c>
      <c r="G32" s="55">
        <f ca="1">G6-G15</f>
        <v>0</v>
      </c>
      <c r="H32" s="55">
        <f ca="1">H6-H15</f>
        <v>0</v>
      </c>
      <c r="I32" s="55"/>
      <c r="J32" s="55"/>
      <c r="K32" s="55"/>
      <c r="L32" s="55"/>
      <c r="M32" s="73"/>
      <c r="N32" s="55"/>
      <c r="O32" s="55"/>
      <c r="P32" s="55"/>
      <c r="Q32" s="55"/>
      <c r="R32" s="55"/>
      <c r="S32" s="55"/>
      <c r="T32" s="55"/>
      <c r="U32" s="55"/>
      <c r="V32" s="55"/>
      <c r="W32" s="55"/>
    </row>
    <row r="33" spans="5:10">
      <c r="E33" s="27">
        <f ca="1">E15-E6</f>
        <v>0</v>
      </c>
      <c r="F33" s="27">
        <f ca="1" t="shared" ref="F33:M33" si="17">F15-F6</f>
        <v>0</v>
      </c>
      <c r="G33" s="27">
        <f ca="1" t="shared" si="17"/>
        <v>0</v>
      </c>
      <c r="H33" s="27">
        <f ca="1" t="shared" si="17"/>
        <v>0</v>
      </c>
      <c r="I33" s="27">
        <f ca="1" t="shared" si="17"/>
        <v>0</v>
      </c>
      <c r="J33" s="27">
        <f ca="1" t="shared" si="17"/>
        <v>0</v>
      </c>
    </row>
  </sheetData>
  <mergeCells count="3">
    <mergeCell ref="A2:W2"/>
    <mergeCell ref="C4:AC4"/>
    <mergeCell ref="B4:B5"/>
  </mergeCells>
  <printOptions horizontalCentered="1"/>
  <pageMargins left="0" right="0" top="0.984027777777778" bottom="0.984027777777778" header="0.511805555555556" footer="0.511805555555556"/>
  <pageSetup paperSize="9" fitToHeight="4" orientation="portrait"/>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37"/>
  <sheetViews>
    <sheetView showZeros="0" view="pageBreakPreview" zoomScale="116" zoomScaleNormal="80" workbookViewId="0">
      <pane xSplit="2" ySplit="5" topLeftCell="C6" activePane="bottomRight" state="frozen"/>
      <selection/>
      <selection pane="topRight"/>
      <selection pane="bottomLeft"/>
      <selection pane="bottomRight" activeCell="E7" sqref="E7"/>
    </sheetView>
  </sheetViews>
  <sheetFormatPr defaultColWidth="8.83035714285714" defaultRowHeight="15.2"/>
  <cols>
    <col min="1" max="1" width="8.16071428571429" style="681" customWidth="1"/>
    <col min="2" max="2" width="24" style="681" customWidth="1"/>
    <col min="3" max="3" width="9.61607142857143" style="682" customWidth="1"/>
    <col min="4" max="4" width="7.83035714285714" style="682" customWidth="1"/>
    <col min="5" max="5" width="8.17857142857143" style="682" customWidth="1"/>
    <col min="6" max="19" width="6.58928571428571" style="682" customWidth="1"/>
    <col min="20" max="23" width="6.66964285714286" style="682" customWidth="1"/>
    <col min="24" max="24" width="8.66071428571429" style="681" customWidth="1"/>
    <col min="25" max="30" width="6.28571428571429" style="681" customWidth="1"/>
    <col min="31" max="44" width="5.66071428571429" style="681" customWidth="1"/>
    <col min="45" max="16384" width="8.83035714285714" style="681"/>
  </cols>
  <sheetData>
    <row r="1" spans="1:54">
      <c r="A1" s="683"/>
      <c r="B1" s="684"/>
      <c r="C1" s="685"/>
      <c r="D1" s="686"/>
      <c r="E1" s="686"/>
      <c r="F1" s="686"/>
      <c r="G1" s="686"/>
      <c r="H1" s="686"/>
      <c r="I1" s="686"/>
      <c r="J1" s="686"/>
      <c r="K1" s="686"/>
      <c r="L1" s="686"/>
      <c r="M1" s="686"/>
      <c r="N1" s="686"/>
      <c r="O1" s="686"/>
      <c r="P1" s="686"/>
      <c r="Q1" s="686"/>
      <c r="R1" s="686"/>
      <c r="S1" s="686"/>
      <c r="T1" s="686"/>
      <c r="U1" s="686"/>
      <c r="V1" s="686"/>
      <c r="W1" s="686"/>
    </row>
    <row r="2" ht="16" spans="1:54">
      <c r="A2" s="687" t="s">
        <v>833</v>
      </c>
      <c r="B2" s="687"/>
      <c r="C2" s="687"/>
      <c r="D2" s="687"/>
      <c r="E2" s="687"/>
      <c r="F2" s="687"/>
      <c r="G2" s="687"/>
      <c r="H2" s="687"/>
      <c r="I2" s="687"/>
      <c r="J2" s="687"/>
      <c r="K2" s="687"/>
      <c r="L2" s="687"/>
      <c r="M2" s="687"/>
      <c r="N2" s="687"/>
      <c r="O2" s="687"/>
      <c r="P2" s="687"/>
      <c r="Q2" s="687"/>
      <c r="R2" s="687"/>
      <c r="S2" s="687"/>
      <c r="T2" s="687"/>
      <c r="U2" s="687"/>
      <c r="V2" s="687"/>
      <c r="W2" s="687"/>
      <c r="X2" s="687"/>
    </row>
    <row r="3" ht="16" spans="1:54">
      <c r="A3" s="684"/>
      <c r="B3" s="684"/>
      <c r="C3" s="685"/>
      <c r="D3" s="686"/>
      <c r="E3" s="686"/>
      <c r="F3" s="686"/>
      <c r="G3" s="686"/>
      <c r="H3" s="686"/>
      <c r="I3" s="686"/>
      <c r="J3" s="686"/>
      <c r="K3" s="686"/>
      <c r="L3" s="686"/>
      <c r="M3" s="686"/>
      <c r="N3" s="688"/>
      <c r="O3" s="688"/>
      <c r="P3" s="688"/>
      <c r="Q3" s="688"/>
      <c r="R3" s="688"/>
      <c r="T3" s="689"/>
      <c r="U3" s="689"/>
      <c r="V3" s="689"/>
      <c r="W3" s="689"/>
      <c r="X3" s="689" t="s">
        <v>834</v>
      </c>
    </row>
    <row r="4" spans="1:54">
      <c r="A4" s="690" t="s">
        <v>724</v>
      </c>
      <c r="B4" s="691" t="s">
        <v>835</v>
      </c>
      <c r="C4" s="692" t="s">
        <v>243</v>
      </c>
      <c r="D4" s="693" t="s">
        <v>726</v>
      </c>
      <c r="E4" s="694"/>
      <c r="F4" s="694"/>
      <c r="G4" s="694"/>
      <c r="H4" s="694"/>
      <c r="I4" s="694"/>
      <c r="J4" s="694"/>
      <c r="K4" s="694"/>
      <c r="L4" s="694"/>
      <c r="M4" s="694"/>
      <c r="N4" s="694"/>
      <c r="O4" s="694"/>
      <c r="P4" s="694"/>
      <c r="Q4" s="694"/>
      <c r="R4" s="694"/>
      <c r="S4" s="694"/>
      <c r="T4" s="694"/>
      <c r="U4" s="694"/>
      <c r="V4" s="694"/>
      <c r="W4" s="694"/>
      <c r="X4" s="694"/>
      <c r="Y4" s="694"/>
      <c r="Z4" s="694"/>
      <c r="AA4" s="694"/>
      <c r="AB4" s="694"/>
      <c r="AC4" s="694"/>
      <c r="AD4" s="695"/>
    </row>
    <row r="5" spans="1:54">
      <c r="A5" s="696" t="s">
        <v>727</v>
      </c>
      <c r="B5" s="697"/>
      <c r="C5" s="698"/>
      <c r="D5" s="699">
        <v>1</v>
      </c>
      <c r="E5" s="699">
        <v>2</v>
      </c>
      <c r="F5" s="699">
        <v>3</v>
      </c>
      <c r="G5" s="699">
        <v>4</v>
      </c>
      <c r="H5" s="699">
        <v>5</v>
      </c>
      <c r="I5" s="699">
        <v>6</v>
      </c>
      <c r="J5" s="699">
        <v>7</v>
      </c>
      <c r="K5" s="699">
        <v>8</v>
      </c>
      <c r="L5" s="699">
        <v>9</v>
      </c>
      <c r="M5" s="699">
        <v>10</v>
      </c>
      <c r="N5" s="699">
        <v>11</v>
      </c>
      <c r="O5" s="699">
        <v>12</v>
      </c>
      <c r="P5" s="699">
        <v>13</v>
      </c>
      <c r="Q5" s="699">
        <v>14</v>
      </c>
      <c r="R5" s="699">
        <v>15</v>
      </c>
      <c r="S5" s="699">
        <v>16</v>
      </c>
      <c r="T5" s="699">
        <v>17</v>
      </c>
      <c r="U5" s="699">
        <v>18</v>
      </c>
      <c r="V5" s="699">
        <v>19</v>
      </c>
      <c r="W5" s="699">
        <v>20</v>
      </c>
      <c r="X5" s="699">
        <v>21</v>
      </c>
      <c r="Y5" s="699">
        <v>22</v>
      </c>
      <c r="Z5" s="699">
        <v>23</v>
      </c>
      <c r="AA5" s="699">
        <v>24</v>
      </c>
      <c r="AB5" s="699">
        <v>25</v>
      </c>
      <c r="AC5" s="699">
        <v>26</v>
      </c>
      <c r="AD5" s="699">
        <v>27</v>
      </c>
    </row>
    <row r="6" spans="1:54">
      <c r="A6" s="700">
        <v>1</v>
      </c>
      <c r="B6" s="701" t="s">
        <v>836</v>
      </c>
      <c r="C6" s="702">
        <f t="shared" ref="C6:C11" si="0">SUM(E6:AD6)</f>
        <v>12496</v>
      </c>
      <c r="D6" s="703">
        <f>IF(假设及结论!$D$24=3,IF(D5&lt;=ConstructPeriod,0,IF(D5&gt;OperationPeriod+ConstructPeriod,0,(假设及结论!$D$27*假设及结论!$E$21)*(1+假设及结论!$F$21))),IF(D5&lt;=ConstructPeriod,0,IF(D5&gt;OperationPeriod+ConstructPeriod,0,(假设及结论!$D$21*假设及结论!$E$21)*(1+假设及结论!$F$21))))</f>
        <v>0</v>
      </c>
      <c r="E6" s="703">
        <f>IF(假设及结论!$D$24=3,IF(E5&lt;=ConstructPeriod,0,IF(E5&gt;OperationPeriod+ConstructPeriod,0,(假设及结论!$D$27*假设及结论!$E$21)*(1+假设及结论!$F$21))),IF(E5&lt;=ConstructPeriod,0,IF(E5&gt;OperationPeriod+ConstructPeriod,0,(假设及结论!$D$21*假设及结论!$E$21)*(1+假设及结论!$F$21))))</f>
        <v>499.84</v>
      </c>
      <c r="F6" s="703">
        <f>IF(假设及结论!$D$24=3,IF(F5&lt;=ConstructPeriod,0,IF(F5&gt;OperationPeriod+ConstructPeriod,0,(假设及结论!$D$27*假设及结论!$E$21)*(1+假设及结论!$F$21))),IF(F5&lt;=ConstructPeriod,0,IF(F5&gt;OperationPeriod+ConstructPeriod,0,(假设及结论!$D$21*假设及结论!$E$21)*(1+假设及结论!$F$21))))</f>
        <v>499.84</v>
      </c>
      <c r="G6" s="703">
        <f>IF(假设及结论!$D$24=3,IF(G5&lt;=ConstructPeriod,0,IF(G5&gt;OperationPeriod+ConstructPeriod,0,(假设及结论!$D$27*假设及结论!$E$21)*(1+假设及结论!$F$21))),IF(G5&lt;=ConstructPeriod,0,IF(G5&gt;OperationPeriod+ConstructPeriod,0,(假设及结论!$D$21*假设及结论!$E$21)*(1+假设及结论!$F$21))))</f>
        <v>499.84</v>
      </c>
      <c r="H6" s="703">
        <f>IF(假设及结论!$D$24=3,IF(H5&lt;=ConstructPeriod,0,IF(H5&gt;OperationPeriod+ConstructPeriod,0,(假设及结论!$D$27*假设及结论!$E$21)*(1+假设及结论!$F$21))),IF(H5&lt;=ConstructPeriod,0,IF(H5&gt;OperationPeriod+ConstructPeriod,0,(假设及结论!$D$21*假设及结论!$E$21)*(1+假设及结论!$F$21))))</f>
        <v>499.84</v>
      </c>
      <c r="I6" s="703">
        <f>IF(假设及结论!$D$24=3,IF(I5&lt;=ConstructPeriod,0,IF(I5&gt;OperationPeriod+ConstructPeriod,0,(假设及结论!$D$27*假设及结论!$E$21)*(1+假设及结论!$F$21))),IF(I5&lt;=ConstructPeriod,0,IF(I5&gt;OperationPeriod+ConstructPeriod,0,(假设及结论!$D$21*假设及结论!$E$21)*(1+假设及结论!$F$21))))</f>
        <v>499.84</v>
      </c>
      <c r="J6" s="703">
        <f>IF(假设及结论!$D$24=3,IF(J5&lt;=ConstructPeriod,0,IF(J5&gt;OperationPeriod+ConstructPeriod,0,(假设及结论!$D$27*假设及结论!$E$21)*(1+假设及结论!$F$21))),IF(J5&lt;=ConstructPeriod,0,IF(J5&gt;OperationPeriod+ConstructPeriod,0,(假设及结论!$D$21*假设及结论!$E$21)*(1+假设及结论!$F$21))))</f>
        <v>499.84</v>
      </c>
      <c r="K6" s="703">
        <f>IF(假设及结论!$D$24=3,IF(K5&lt;=ConstructPeriod,0,IF(K5&gt;OperationPeriod+ConstructPeriod,0,(假设及结论!$D$27*假设及结论!$E$21)*(1+假设及结论!$F$21))),IF(K5&lt;=ConstructPeriod,0,IF(K5&gt;OperationPeriod+ConstructPeriod,0,(假设及结论!$D$21*假设及结论!$E$21)*(1+假设及结论!$F$21))))</f>
        <v>499.84</v>
      </c>
      <c r="L6" s="703">
        <f>IF(假设及结论!$D$24=3,IF(L5&lt;=ConstructPeriod,0,IF(L5&gt;OperationPeriod+ConstructPeriod,0,(假设及结论!$D$27*假设及结论!$E$21)*(1+假设及结论!$F$21))),IF(L5&lt;=ConstructPeriod,0,IF(L5&gt;OperationPeriod+ConstructPeriod,0,(假设及结论!$D$21*假设及结论!$E$21)*(1+假设及结论!$F$21))))</f>
        <v>499.84</v>
      </c>
      <c r="M6" s="703">
        <f>IF(假设及结论!$D$24=3,IF(M5&lt;=ConstructPeriod,0,IF(M5&gt;OperationPeriod+ConstructPeriod,0,(假设及结论!$D$27*假设及结论!$E$21)*(1+假设及结论!$F$21))),IF(M5&lt;=ConstructPeriod,0,IF(M5&gt;OperationPeriod+ConstructPeriod,0,(假设及结论!$D$21*假设及结论!$E$21)*(1+假设及结论!$F$21))))</f>
        <v>499.84</v>
      </c>
      <c r="N6" s="703">
        <f>IF(假设及结论!$D$24=3,IF(N5&lt;=ConstructPeriod,0,IF(N5&gt;OperationPeriod+ConstructPeriod,0,(假设及结论!$D$27*假设及结论!$E$21)*(1+假设及结论!$F$21))),IF(N5&lt;=ConstructPeriod,0,IF(N5&gt;OperationPeriod+ConstructPeriod,0,(假设及结论!$D$21*假设及结论!$E$21)*(1+假设及结论!$F$21))))</f>
        <v>499.84</v>
      </c>
      <c r="O6" s="703">
        <f>IF(假设及结论!$D$24=3,IF(O5&lt;=ConstructPeriod,0,IF(O5&gt;OperationPeriod+ConstructPeriod,0,(假设及结论!$D$27*假设及结论!$E$21)*(1+假设及结论!$F$21))),IF(O5&lt;=ConstructPeriod,0,IF(O5&gt;OperationPeriod+ConstructPeriod,0,(假设及结论!$D$21*假设及结论!$E$21)*(1+假设及结论!$F$21))))</f>
        <v>499.84</v>
      </c>
      <c r="P6" s="703">
        <f>IF(假设及结论!$D$24=3,IF(P5&lt;=ConstructPeriod,0,IF(P5&gt;OperationPeriod+ConstructPeriod,0,(假设及结论!$D$27*假设及结论!$E$21)*(1+假设及结论!$F$21))),IF(P5&lt;=ConstructPeriod,0,IF(P5&gt;OperationPeriod+ConstructPeriod,0,(假设及结论!$D$21*假设及结论!$E$21)*(1+假设及结论!$F$21))))</f>
        <v>499.84</v>
      </c>
      <c r="Q6" s="703">
        <f>IF(假设及结论!$D$24=3,IF(Q5&lt;=ConstructPeriod,0,IF(Q5&gt;OperationPeriod+ConstructPeriod,0,(假设及结论!$D$27*假设及结论!$E$21)*(1+假设及结论!$F$21))),IF(Q5&lt;=ConstructPeriod,0,IF(Q5&gt;OperationPeriod+ConstructPeriod,0,(假设及结论!$D$21*假设及结论!$E$21)*(1+假设及结论!$F$21))))</f>
        <v>499.84</v>
      </c>
      <c r="R6" s="703">
        <f>IF(假设及结论!$D$24=3,IF(R5&lt;=ConstructPeriod,0,IF(R5&gt;OperationPeriod+ConstructPeriod,0,(假设及结论!$D$27*假设及结论!$E$21)*(1+假设及结论!$F$21))),IF(R5&lt;=ConstructPeriod,0,IF(R5&gt;OperationPeriod+ConstructPeriod,0,(假设及结论!$D$21*假设及结论!$E$21)*(1+假设及结论!$F$21))))</f>
        <v>499.84</v>
      </c>
      <c r="S6" s="703">
        <f>IF(假设及结论!$D$24=3,IF(S5&lt;=ConstructPeriod,0,IF(S5&gt;OperationPeriod+ConstructPeriod,0,(假设及结论!$D$27*假设及结论!$E$21)*(1+假设及结论!$F$21))),IF(S5&lt;=ConstructPeriod,0,IF(S5&gt;OperationPeriod+ConstructPeriod,0,(假设及结论!$D$21*假设及结论!$E$21)*(1+假设及结论!$F$21))))</f>
        <v>499.84</v>
      </c>
      <c r="T6" s="703">
        <f>IF(假设及结论!$D$24=3,IF(T5&lt;=ConstructPeriod,0,IF(T5&gt;OperationPeriod+ConstructPeriod,0,(假设及结论!$D$27*假设及结论!$E$21)*(1+假设及结论!$F$21))),IF(T5&lt;=ConstructPeriod,0,IF(T5&gt;OperationPeriod+ConstructPeriod,0,(假设及结论!$D$21*假设及结论!$E$21)*(1+假设及结论!$F$21))))</f>
        <v>499.84</v>
      </c>
      <c r="U6" s="703">
        <f>IF(假设及结论!$D$24=3,IF(U5&lt;=ConstructPeriod,0,IF(U5&gt;OperationPeriod+ConstructPeriod,0,(假设及结论!$D$27*假设及结论!$E$21)*(1+假设及结论!$F$21))),IF(U5&lt;=ConstructPeriod,0,IF(U5&gt;OperationPeriod+ConstructPeriod,0,(假设及结论!$D$21*假设及结论!$E$21)*(1+假设及结论!$F$21))))</f>
        <v>499.84</v>
      </c>
      <c r="V6" s="703">
        <f>IF(假设及结论!$D$24=3,IF(V5&lt;=ConstructPeriod,0,IF(V5&gt;OperationPeriod+ConstructPeriod,0,(假设及结论!$D$27*假设及结论!$E$21)*(1+假设及结论!$F$21))),IF(V5&lt;=ConstructPeriod,0,IF(V5&gt;OperationPeriod+ConstructPeriod,0,(假设及结论!$D$21*假设及结论!$E$21)*(1+假设及结论!$F$21))))</f>
        <v>499.84</v>
      </c>
      <c r="W6" s="703">
        <f>IF(假设及结论!$D$24=3,IF(W5&lt;=ConstructPeriod,0,IF(W5&gt;OperationPeriod+ConstructPeriod,0,(假设及结论!$D$27*假设及结论!$E$21)*(1+假设及结论!$F$21))),IF(W5&lt;=ConstructPeriod,0,IF(W5&gt;OperationPeriod+ConstructPeriod,0,(假设及结论!$D$21*假设及结论!$E$21)*(1+假设及结论!$F$21))))</f>
        <v>499.84</v>
      </c>
      <c r="X6" s="703">
        <f>IF(假设及结论!$D$24=3,IF(X5&lt;=ConstructPeriod,0,IF(X5&gt;OperationPeriod+ConstructPeriod,0,(假设及结论!$D$27*假设及结论!$E$21)*(1+假设及结论!$F$21))),IF(X5&lt;=ConstructPeriod,0,IF(X5&gt;OperationPeriod+ConstructPeriod,0,(假设及结论!$D$21*假设及结论!$E$21)*(1+假设及结论!$F$21))))</f>
        <v>499.84</v>
      </c>
      <c r="Y6" s="703">
        <f>IF(假设及结论!$D$24=3,IF(Y5&lt;=ConstructPeriod,0,IF(Y5&gt;OperationPeriod+ConstructPeriod,0,(假设及结论!$D$27*假设及结论!$E$21)*(1+假设及结论!$F$21))),IF(Y5&lt;=ConstructPeriod,0,IF(Y5&gt;OperationPeriod+ConstructPeriod,0,(假设及结论!$D$21*假设及结论!$E$21)*(1+假设及结论!$F$21))))</f>
        <v>499.84</v>
      </c>
      <c r="Z6" s="703">
        <f>IF(假设及结论!$D$24=3,IF(Z5&lt;=ConstructPeriod,0,IF(Z5&gt;OperationPeriod+ConstructPeriod,0,(假设及结论!$D$27*假设及结论!$E$21)*(1+假设及结论!$F$21))),IF(Z5&lt;=ConstructPeriod,0,IF(Z5&gt;OperationPeriod+ConstructPeriod,0,(假设及结论!$D$21*假设及结论!$E$21)*(1+假设及结论!$F$21))))</f>
        <v>499.84</v>
      </c>
      <c r="AA6" s="703">
        <f>IF(假设及结论!$D$24=3,IF(AA5&lt;=ConstructPeriod,0,IF(AA5&gt;OperationPeriod+ConstructPeriod,0,(假设及结论!$D$27*假设及结论!$E$21)*(1+假设及结论!$F$21))),IF(AA5&lt;=ConstructPeriod,0,IF(AA5&gt;OperationPeriod+ConstructPeriod,0,(假设及结论!$D$21*假设及结论!$E$21)*(1+假设及结论!$F$21))))</f>
        <v>499.84</v>
      </c>
      <c r="AB6" s="703">
        <f>IF(假设及结论!$D$24=3,IF(AB5&lt;=ConstructPeriod,0,IF(AB5&gt;OperationPeriod+ConstructPeriod,0,(假设及结论!$D$27*假设及结论!$E$21)*(1+假设及结论!$F$21))),IF(AB5&lt;=ConstructPeriod,0,IF(AB5&gt;OperationPeriod+ConstructPeriod,0,(假设及结论!$D$21*假设及结论!$E$21)*(1+假设及结论!$F$21))))</f>
        <v>499.84</v>
      </c>
      <c r="AC6" s="703">
        <f>IF(假设及结论!$D$24=3,IF(AC5&lt;=ConstructPeriod,0,IF(AC5&gt;OperationPeriod+ConstructPeriod,0,(假设及结论!$D$27*假设及结论!$E$21)*(1+假设及结论!$F$21))),IF(AC5&lt;=ConstructPeriod,0,IF(AC5&gt;OperationPeriod+ConstructPeriod,0,(假设及结论!$D$21*假设及结论!$E$21)*(1+假设及结论!$F$21))))</f>
        <v>499.84</v>
      </c>
      <c r="AD6" s="703">
        <f>IF(假设及结论!$D$24=3,IF(AD5&lt;=ConstructPeriod,0,IF(AD5&gt;OperationPeriod+ConstructPeriod,0,(假设及结论!$D$27*假设及结论!$E$21)*(1+假设及结论!$F$21))),IF(AD5&lt;=ConstructPeriod,0,IF(AD5&gt;OperationPeriod+ConstructPeriod,0,(假设及结论!$D$21*假设及结论!$E$21)*(1+假设及结论!$F$21))))</f>
        <v>0</v>
      </c>
      <c r="AE6" s="704"/>
      <c r="AF6" s="704"/>
      <c r="AG6" s="704"/>
      <c r="AH6" s="704"/>
      <c r="AI6" s="704"/>
      <c r="AJ6" s="704"/>
      <c r="AK6" s="704"/>
      <c r="AL6" s="704"/>
      <c r="AM6" s="704"/>
      <c r="AN6" s="704"/>
      <c r="AO6" s="704"/>
      <c r="AP6" s="704"/>
      <c r="AQ6" s="704"/>
      <c r="AR6" s="704"/>
      <c r="AS6" s="704"/>
      <c r="AT6" s="704"/>
      <c r="AU6" s="704"/>
      <c r="AV6" s="704"/>
      <c r="AW6" s="704"/>
      <c r="AX6" s="704"/>
      <c r="AY6" s="704"/>
      <c r="AZ6" s="704"/>
      <c r="BA6" s="704"/>
      <c r="BB6" s="704"/>
    </row>
    <row r="7" spans="1:54">
      <c r="A7" s="700">
        <v>2</v>
      </c>
      <c r="B7" s="705" t="s">
        <v>837</v>
      </c>
      <c r="C7" s="702">
        <f t="shared" si="0"/>
        <v>17476.0543610475</v>
      </c>
      <c r="D7" s="703">
        <f>IF(假设及结论!$D$24=1,IF(D6=0,0,IF(D5&gt;ConstructPeriod+假设及结论!$C$24,IF(假设及结论!$B$24=1,假设及结论!$O$24*InstalledCapacity*(1+CPI)^(D5-1),假设及结论!$I$24*InstalledCapacity*(1+CPI)^(D5-1)),IF(假设及结论!$B$24=1,假设及结论!$N$24*InstalledCapacity*(1+CPI)^(D5-1),假设及结论!$H$24*InstalledCapacity*(1+CPI)^(D5-1)))),IF(假设及结论!$D$24=2,D28,IF(D6=0,0,IF(D5&gt;ConstructPeriod+假设及结论!$C$24,IF(假设及结论!$B$24=1,假设及结论!$O$24*InstalledCapacity*假设及结论!$E$18*(1+CPI)^(D5-1),假设及结论!$I$24*InstalledCapacity*假设及结论!$E$18*(1+CPI)^(D5-1)),IF(假设及结论!$B$24=1,假设及结论!$N$24*InstalledCapacity*假设及结论!$E$18*(1+CPI)^(D5-1),假设及结论!$H$24*InstalledCapacity*假设及结论!$E$18*(1+CPI)^(D5-1))))))</f>
        <v>0</v>
      </c>
      <c r="E7" s="703">
        <f>IF(假设及结论!$D$24=1,IF(E6=0,0,IF(E5&gt;ConstructPeriod+假设及结论!$C$24,IF(假设及结论!$B$24=1,假设及结论!$O$24*InstalledCapacity*(1+CPI)^(E5-1),假设及结论!$I$24*InstalledCapacity*(1+CPI)^(E5-1)),IF(假设及结论!$B$24=1,假设及结论!$N$24*InstalledCapacity*(1+CPI)^(E5-1),假设及结论!$H$24*InstalledCapacity*(1+CPI)^(E5-1)))),IF(假设及结论!$D$24=2,E28,IF(E6=0,0,IF(E5&gt;ConstructPeriod+假设及结论!$C$24,IF(假设及结论!$B$24=1,假设及结论!$O$24*InstalledCapacity*假设及结论!$E$18*(1+CPI)^(E5-1),假设及结论!$I$24*InstalledCapacity*假设及结论!$E$18*(1+CPI)^(E5-1)),IF(假设及结论!$B$24=1,假设及结论!$N$24*InstalledCapacity*假设及结论!$E$18*(1+CPI)^(E5-1),假设及结论!$H$24*InstalledCapacity*假设及结论!$E$18*(1+CPI)^(E5-1))))))</f>
        <v>690.69</v>
      </c>
      <c r="F7" s="703">
        <f>IF(假设及结论!$D$24=1,IF(F6=0,0,IF(F5&gt;ConstructPeriod+假设及结论!$C$24,IF(假设及结论!$B$24=1,假设及结论!$O$24*InstalledCapacity*(1+CPI)^(F5-1),假设及结论!$I$24*InstalledCapacity*(1+CPI)^(F5-1)),IF(假设及结论!$B$24=1,假设及结论!$N$24*InstalledCapacity*(1+CPI)^(F5-1),假设及结论!$H$24*InstalledCapacity*(1+CPI)^(F5-1)))),IF(假设及结论!$D$24=2,F28,IF(F6=0,0,IF(F5&gt;ConstructPeriod+假设及结论!$C$24,IF(假设及结论!$B$24=1,假设及结论!$O$24*InstalledCapacity*假设及结论!$E$18*(1+CPI)^(F5-1),假设及结论!$I$24*InstalledCapacity*假设及结论!$E$18*(1+CPI)^(F5-1)),IF(假设及结论!$B$24=1,假设及结论!$N$24*InstalledCapacity*假设及结论!$E$18*(1+CPI)^(F5-1),假设及结论!$H$24*InstalledCapacity*假设及结论!$E$18*(1+CPI)^(F5-1))))))</f>
        <v>691.38069</v>
      </c>
      <c r="G7" s="703">
        <f>IF(假设及结论!$D$24=1,IF(G6=0,0,IF(G5&gt;ConstructPeriod+假设及结论!$C$24,IF(假设及结论!$B$24=1,假设及结论!$O$24*InstalledCapacity*(1+CPI)^(G5-1),假设及结论!$I$24*InstalledCapacity*(1+CPI)^(G5-1)),IF(假设及结论!$B$24=1,假设及结论!$N$24*InstalledCapacity*(1+CPI)^(G5-1),假设及结论!$H$24*InstalledCapacity*(1+CPI)^(G5-1)))),IF(假设及结论!$D$24=2,G28,IF(G6=0,0,IF(G5&gt;ConstructPeriod+假设及结论!$C$24,IF(假设及结论!$B$24=1,假设及结论!$O$24*InstalledCapacity*假设及结论!$E$18*(1+CPI)^(G5-1),假设及结论!$I$24*InstalledCapacity*假设及结论!$E$18*(1+CPI)^(G5-1)),IF(假设及结论!$B$24=1,假设及结论!$N$24*InstalledCapacity*假设及结论!$E$18*(1+CPI)^(G5-1),假设及结论!$H$24*InstalledCapacity*假设及结论!$E$18*(1+CPI)^(G5-1))))))</f>
        <v>692.07207069</v>
      </c>
      <c r="H7" s="703">
        <f>IF(假设及结论!$D$24=1,IF(H6=0,0,IF(H5&gt;ConstructPeriod+假设及结论!$C$24,IF(假设及结论!$B$24=1,假设及结论!$O$24*InstalledCapacity*(1+CPI)^(H5-1),假设及结论!$I$24*InstalledCapacity*(1+CPI)^(H5-1)),IF(假设及结论!$B$24=1,假设及结论!$N$24*InstalledCapacity*(1+CPI)^(H5-1),假设及结论!$H$24*InstalledCapacity*(1+CPI)^(H5-1)))),IF(假设及结论!$D$24=2,H28,IF(H6=0,0,IF(H5&gt;ConstructPeriod+假设及结论!$C$24,IF(假设及结论!$B$24=1,假设及结论!$O$24*InstalledCapacity*假设及结论!$E$18*(1+CPI)^(H5-1),假设及结论!$I$24*InstalledCapacity*假设及结论!$E$18*(1+CPI)^(H5-1)),IF(假设及结论!$B$24=1,假设及结论!$N$24*InstalledCapacity*假设及结论!$E$18*(1+CPI)^(H5-1),假设及结论!$H$24*InstalledCapacity*假设及结论!$E$18*(1+CPI)^(H5-1))))))</f>
        <v>692.76414276069</v>
      </c>
      <c r="I7" s="703">
        <f>IF(假设及结论!$D$24=1,IF(I6=0,0,IF(I5&gt;ConstructPeriod+假设及结论!$C$24,IF(假设及结论!$B$24=1,假设及结论!$O$24*InstalledCapacity*(1+CPI)^(I5-1),假设及结论!$I$24*InstalledCapacity*(1+CPI)^(I5-1)),IF(假设及结论!$B$24=1,假设及结论!$N$24*InstalledCapacity*(1+CPI)^(I5-1),假设及结论!$H$24*InstalledCapacity*(1+CPI)^(I5-1)))),IF(假设及结论!$D$24=2,I28,IF(I6=0,0,IF(I5&gt;ConstructPeriod+假设及结论!$C$24,IF(假设及结论!$B$24=1,假设及结论!$O$24*InstalledCapacity*假设及结论!$E$18*(1+CPI)^(I5-1),假设及结论!$I$24*InstalledCapacity*假设及结论!$E$18*(1+CPI)^(I5-1)),IF(假设及结论!$B$24=1,假设及结论!$N$24*InstalledCapacity*假设及结论!$E$18*(1+CPI)^(I5-1),假设及结论!$H$24*InstalledCapacity*假设及结论!$E$18*(1+CPI)^(I5-1))))))</f>
        <v>693.45690690345</v>
      </c>
      <c r="J7" s="703">
        <f>IF(假设及结论!$D$24=1,IF(J6=0,0,IF(J5&gt;ConstructPeriod+假设及结论!$C$24,IF(假设及结论!$B$24=1,假设及结论!$O$24*InstalledCapacity*(1+CPI)^(J5-1),假设及结论!$I$24*InstalledCapacity*(1+CPI)^(J5-1)),IF(假设及结论!$B$24=1,假设及结论!$N$24*InstalledCapacity*(1+CPI)^(J5-1),假设及结论!$H$24*InstalledCapacity*(1+CPI)^(J5-1)))),IF(假设及结论!$D$24=2,J28,IF(J6=0,0,IF(J5&gt;ConstructPeriod+假设及结论!$C$24,IF(假设及结论!$B$24=1,假设及结论!$O$24*InstalledCapacity*假设及结论!$E$18*(1+CPI)^(J5-1),假设及结论!$I$24*InstalledCapacity*假设及结论!$E$18*(1+CPI)^(J5-1)),IF(假设及结论!$B$24=1,假设及结论!$N$24*InstalledCapacity*假设及结论!$E$18*(1+CPI)^(J5-1),假设及结论!$H$24*InstalledCapacity*假设及结论!$E$18*(1+CPI)^(J5-1))))))</f>
        <v>694.150363810354</v>
      </c>
      <c r="K7" s="703">
        <f>IF(假设及结论!$D$24=1,IF(K6=0,0,IF(K5&gt;ConstructPeriod+假设及结论!$C$24,IF(假设及结论!$B$24=1,假设及结论!$O$24*InstalledCapacity*(1+CPI)^(K5-1),假设及结论!$I$24*InstalledCapacity*(1+CPI)^(K5-1)),IF(假设及结论!$B$24=1,假设及结论!$N$24*InstalledCapacity*(1+CPI)^(K5-1),假设及结论!$H$24*InstalledCapacity*(1+CPI)^(K5-1)))),IF(假设及结论!$D$24=2,K28,IF(K6=0,0,IF(K5&gt;ConstructPeriod+假设及结论!$C$24,IF(假设及结论!$B$24=1,假设及结论!$O$24*InstalledCapacity*假设及结论!$E$18*(1+CPI)^(K5-1),假设及结论!$I$24*InstalledCapacity*假设及结论!$E$18*(1+CPI)^(K5-1)),IF(假设及结论!$B$24=1,假设及结论!$N$24*InstalledCapacity*假设及结论!$E$18*(1+CPI)^(K5-1),假设及结论!$H$24*InstalledCapacity*假设及结论!$E$18*(1+CPI)^(K5-1))))))</f>
        <v>694.844514174164</v>
      </c>
      <c r="L7" s="703">
        <f>IF(假设及结论!$D$24=1,IF(L6=0,0,IF(L5&gt;ConstructPeriod+假设及结论!$C$24,IF(假设及结论!$B$24=1,假设及结论!$O$24*InstalledCapacity*(1+CPI)^(L5-1),假设及结论!$I$24*InstalledCapacity*(1+CPI)^(L5-1)),IF(假设及结论!$B$24=1,假设及结论!$N$24*InstalledCapacity*(1+CPI)^(L5-1),假设及结论!$H$24*InstalledCapacity*(1+CPI)^(L5-1)))),IF(假设及结论!$D$24=2,L28,IF(L6=0,0,IF(L5&gt;ConstructPeriod+假设及结论!$C$24,IF(假设及结论!$B$24=1,假设及结论!$O$24*InstalledCapacity*假设及结论!$E$18*(1+CPI)^(L5-1),假设及结论!$I$24*InstalledCapacity*假设及结论!$E$18*(1+CPI)^(L5-1)),IF(假设及结论!$B$24=1,假设及结论!$N$24*InstalledCapacity*假设及结论!$E$18*(1+CPI)^(L5-1),假设及结论!$H$24*InstalledCapacity*假设及结论!$E$18*(1+CPI)^(L5-1))))))</f>
        <v>695.539358688338</v>
      </c>
      <c r="M7" s="703">
        <f>IF(假设及结论!$D$24=1,IF(M6=0,0,IF(M5&gt;ConstructPeriod+假设及结论!$C$24,IF(假设及结论!$B$24=1,假设及结论!$O$24*InstalledCapacity*(1+CPI)^(M5-1),假设及结论!$I$24*InstalledCapacity*(1+CPI)^(M5-1)),IF(假设及结论!$B$24=1,假设及结论!$N$24*InstalledCapacity*(1+CPI)^(M5-1),假设及结论!$H$24*InstalledCapacity*(1+CPI)^(M5-1)))),IF(假设及结论!$D$24=2,M28,IF(M6=0,0,IF(M5&gt;ConstructPeriod+假设及结论!$C$24,IF(假设及结论!$B$24=1,假设及结论!$O$24*InstalledCapacity*假设及结论!$E$18*(1+CPI)^(M5-1),假设及结论!$I$24*InstalledCapacity*假设及结论!$E$18*(1+CPI)^(M5-1)),IF(假设及结论!$B$24=1,假设及结论!$N$24*InstalledCapacity*假设及结论!$E$18*(1+CPI)^(M5-1),假设及结论!$H$24*InstalledCapacity*假设及结论!$E$18*(1+CPI)^(M5-1))))))</f>
        <v>696.234898047026</v>
      </c>
      <c r="N7" s="703">
        <f>IF(假设及结论!$D$24=1,IF(N6=0,0,IF(N5&gt;ConstructPeriod+假设及结论!$C$24,IF(假设及结论!$B$24=1,假设及结论!$O$24*InstalledCapacity*(1+CPI)^(N5-1),假设及结论!$I$24*InstalledCapacity*(1+CPI)^(N5-1)),IF(假设及结论!$B$24=1,假设及结论!$N$24*InstalledCapacity*(1+CPI)^(N5-1),假设及结论!$H$24*InstalledCapacity*(1+CPI)^(N5-1)))),IF(假设及结论!$D$24=2,N28,IF(N6=0,0,IF(N5&gt;ConstructPeriod+假设及结论!$C$24,IF(假设及结论!$B$24=1,假设及结论!$O$24*InstalledCapacity*假设及结论!$E$18*(1+CPI)^(N5-1),假设及结论!$I$24*InstalledCapacity*假设及结论!$E$18*(1+CPI)^(N5-1)),IF(假设及结论!$B$24=1,假设及结论!$N$24*InstalledCapacity*假设及结论!$E$18*(1+CPI)^(N5-1),假设及结论!$H$24*InstalledCapacity*假设及结论!$E$18*(1+CPI)^(N5-1))))))</f>
        <v>696.931132945073</v>
      </c>
      <c r="O7" s="703">
        <f>IF(假设及结论!$D$24=1,IF(O6=0,0,IF(O5&gt;ConstructPeriod+假设及结论!$C$24,IF(假设及结论!$B$24=1,假设及结论!$O$24*InstalledCapacity*(1+CPI)^(O5-1),假设及结论!$I$24*InstalledCapacity*(1+CPI)^(O5-1)),IF(假设及结论!$B$24=1,假设及结论!$N$24*InstalledCapacity*(1+CPI)^(O5-1),假设及结论!$H$24*InstalledCapacity*(1+CPI)^(O5-1)))),IF(假设及结论!$D$24=2,O28,IF(O6=0,0,IF(O5&gt;ConstructPeriod+假设及结论!$C$24,IF(假设及结论!$B$24=1,假设及结论!$O$24*InstalledCapacity*假设及结论!$E$18*(1+CPI)^(O5-1),假设及结论!$I$24*InstalledCapacity*假设及结论!$E$18*(1+CPI)^(O5-1)),IF(假设及结论!$B$24=1,假设及结论!$N$24*InstalledCapacity*假设及结论!$E$18*(1+CPI)^(O5-1),假设及结论!$H$24*InstalledCapacity*假设及结论!$E$18*(1+CPI)^(O5-1))))))</f>
        <v>697.628064078018</v>
      </c>
      <c r="P7" s="703">
        <f>IF(假设及结论!$D$24=1,IF(P6=0,0,IF(P5&gt;ConstructPeriod+假设及结论!$C$24,IF(假设及结论!$B$24=1,假设及结论!$O$24*InstalledCapacity*(1+CPI)^(P5-1),假设及结论!$I$24*InstalledCapacity*(1+CPI)^(P5-1)),IF(假设及结论!$B$24=1,假设及结论!$N$24*InstalledCapacity*(1+CPI)^(P5-1),假设及结论!$H$24*InstalledCapacity*(1+CPI)^(P5-1)))),IF(假设及结论!$D$24=2,P28,IF(P6=0,0,IF(P5&gt;ConstructPeriod+假设及结论!$C$24,IF(假设及结论!$B$24=1,假设及结论!$O$24*InstalledCapacity*假设及结论!$E$18*(1+CPI)^(P5-1),假设及结论!$I$24*InstalledCapacity*假设及结论!$E$18*(1+CPI)^(P5-1)),IF(假设及结论!$B$24=1,假设及结论!$N$24*InstalledCapacity*假设及结论!$E$18*(1+CPI)^(P5-1),假设及结论!$H$24*InstalledCapacity*假设及结论!$E$18*(1+CPI)^(P5-1))))))</f>
        <v>698.325692142096</v>
      </c>
      <c r="Q7" s="703">
        <f>IF(假设及结论!$D$24=1,IF(Q6=0,0,IF(Q5&gt;ConstructPeriod+假设及结论!$C$24,IF(假设及结论!$B$24=1,假设及结论!$O$24*InstalledCapacity*(1+CPI)^(Q5-1),假设及结论!$I$24*InstalledCapacity*(1+CPI)^(Q5-1)),IF(假设及结论!$B$24=1,假设及结论!$N$24*InstalledCapacity*(1+CPI)^(Q5-1),假设及结论!$H$24*InstalledCapacity*(1+CPI)^(Q5-1)))),IF(假设及结论!$D$24=2,Q28,IF(Q6=0,0,IF(Q5&gt;ConstructPeriod+假设及结论!$C$24,IF(假设及结论!$B$24=1,假设及结论!$O$24*InstalledCapacity*假设及结论!$E$18*(1+CPI)^(Q5-1),假设及结论!$I$24*InstalledCapacity*假设及结论!$E$18*(1+CPI)^(Q5-1)),IF(假设及结论!$B$24=1,假设及结论!$N$24*InstalledCapacity*假设及结论!$E$18*(1+CPI)^(Q5-1),假设及结论!$H$24*InstalledCapacity*假设及结论!$E$18*(1+CPI)^(Q5-1))))))</f>
        <v>699.024017834238</v>
      </c>
      <c r="R7" s="703">
        <f>IF(假设及结论!$D$24=1,IF(R6=0,0,IF(R5&gt;ConstructPeriod+假设及结论!$C$24,IF(假设及结论!$B$24=1,假设及结论!$O$24*InstalledCapacity*(1+CPI)^(R5-1),假设及结论!$I$24*InstalledCapacity*(1+CPI)^(R5-1)),IF(假设及结论!$B$24=1,假设及结论!$N$24*InstalledCapacity*(1+CPI)^(R5-1),假设及结论!$H$24*InstalledCapacity*(1+CPI)^(R5-1)))),IF(假设及结论!$D$24=2,R28,IF(R6=0,0,IF(R5&gt;ConstructPeriod+假设及结论!$C$24,IF(假设及结论!$B$24=1,假设及结论!$O$24*InstalledCapacity*假设及结论!$E$18*(1+CPI)^(R5-1),假设及结论!$I$24*InstalledCapacity*假设及结论!$E$18*(1+CPI)^(R5-1)),IF(假设及结论!$B$24=1,假设及结论!$N$24*InstalledCapacity*假设及结论!$E$18*(1+CPI)^(R5-1),假设及结论!$H$24*InstalledCapacity*假设及结论!$E$18*(1+CPI)^(R5-1))))))</f>
        <v>699.723041852072</v>
      </c>
      <c r="S7" s="703">
        <f>IF(假设及结论!$D$24=1,IF(S6=0,0,IF(S5&gt;ConstructPeriod+假设及结论!$C$24,IF(假设及结论!$B$24=1,假设及结论!$O$24*InstalledCapacity*(1+CPI)^(S5-1),假设及结论!$I$24*InstalledCapacity*(1+CPI)^(S5-1)),IF(假设及结论!$B$24=1,假设及结论!$N$24*InstalledCapacity*(1+CPI)^(S5-1),假设及结论!$H$24*InstalledCapacity*(1+CPI)^(S5-1)))),IF(假设及结论!$D$24=2,S28,IF(S6=0,0,IF(S5&gt;ConstructPeriod+假设及结论!$C$24,IF(假设及结论!$B$24=1,假设及结论!$O$24*InstalledCapacity*假设及结论!$E$18*(1+CPI)^(S5-1),假设及结论!$I$24*InstalledCapacity*假设及结论!$E$18*(1+CPI)^(S5-1)),IF(假设及结论!$B$24=1,假设及结论!$N$24*InstalledCapacity*假设及结论!$E$18*(1+CPI)^(S5-1),假设及结论!$H$24*InstalledCapacity*假设及结论!$E$18*(1+CPI)^(S5-1))))))</f>
        <v>700.422764893924</v>
      </c>
      <c r="T7" s="703">
        <f>IF(假设及结论!$D$24=1,IF(T6=0,0,IF(T5&gt;ConstructPeriod+假设及结论!$C$24,IF(假设及结论!$B$24=1,假设及结论!$O$24*InstalledCapacity*(1+CPI)^(T5-1),假设及结论!$I$24*InstalledCapacity*(1+CPI)^(T5-1)),IF(假设及结论!$B$24=1,假设及结论!$N$24*InstalledCapacity*(1+CPI)^(T5-1),假设及结论!$H$24*InstalledCapacity*(1+CPI)^(T5-1)))),IF(假设及结论!$D$24=2,T28,IF(T6=0,0,IF(T5&gt;ConstructPeriod+假设及结论!$C$24,IF(假设及结论!$B$24=1,假设及结论!$O$24*InstalledCapacity*假设及结论!$E$18*(1+CPI)^(T5-1),假设及结论!$I$24*InstalledCapacity*假设及结论!$E$18*(1+CPI)^(T5-1)),IF(假设及结论!$B$24=1,假设及结论!$N$24*InstalledCapacity*假设及结论!$E$18*(1+CPI)^(T5-1),假设及结论!$H$24*InstalledCapacity*假设及结论!$E$18*(1+CPI)^(T5-1))))))</f>
        <v>701.123187658818</v>
      </c>
      <c r="U7" s="703">
        <f>IF(假设及结论!$D$24=1,IF(U6=0,0,IF(U5&gt;ConstructPeriod+假设及结论!$C$24,IF(假设及结论!$B$24=1,假设及结论!$O$24*InstalledCapacity*(1+CPI)^(U5-1),假设及结论!$I$24*InstalledCapacity*(1+CPI)^(U5-1)),IF(假设及结论!$B$24=1,假设及结论!$N$24*InstalledCapacity*(1+CPI)^(U5-1),假设及结论!$H$24*InstalledCapacity*(1+CPI)^(U5-1)))),IF(假设及结论!$D$24=2,U28,IF(U6=0,0,IF(U5&gt;ConstructPeriod+假设及结论!$C$24,IF(假设及结论!$B$24=1,假设及结论!$O$24*InstalledCapacity*假设及结论!$E$18*(1+CPI)^(U5-1),假设及结论!$I$24*InstalledCapacity*假设及结论!$E$18*(1+CPI)^(U5-1)),IF(假设及结论!$B$24=1,假设及结论!$N$24*InstalledCapacity*假设及结论!$E$18*(1+CPI)^(U5-1),假设及结论!$H$24*InstalledCapacity*假设及结论!$E$18*(1+CPI)^(U5-1))))))</f>
        <v>701.824310846477</v>
      </c>
      <c r="V7" s="703">
        <f>IF(假设及结论!$D$24=1,IF(V6=0,0,IF(V5&gt;ConstructPeriod+假设及结论!$C$24,IF(假设及结论!$B$24=1,假设及结论!$O$24*InstalledCapacity*(1+CPI)^(V5-1),假设及结论!$I$24*InstalledCapacity*(1+CPI)^(V5-1)),IF(假设及结论!$B$24=1,假设及结论!$N$24*InstalledCapacity*(1+CPI)^(V5-1),假设及结论!$H$24*InstalledCapacity*(1+CPI)^(V5-1)))),IF(假设及结论!$D$24=2,V28,IF(V6=0,0,IF(V5&gt;ConstructPeriod+假设及结论!$C$24,IF(假设及结论!$B$24=1,假设及结论!$O$24*InstalledCapacity*假设及结论!$E$18*(1+CPI)^(V5-1),假设及结论!$I$24*InstalledCapacity*假设及结论!$E$18*(1+CPI)^(V5-1)),IF(假设及结论!$B$24=1,假设及结论!$N$24*InstalledCapacity*假设及结论!$E$18*(1+CPI)^(V5-1),假设及结论!$H$24*InstalledCapacity*假设及结论!$E$18*(1+CPI)^(V5-1))))))</f>
        <v>702.526135157323</v>
      </c>
      <c r="W7" s="703">
        <f>IF(假设及结论!$D$24=1,IF(W6=0,0,IF(W5&gt;ConstructPeriod+假设及结论!$C$24,IF(假设及结论!$B$24=1,假设及结论!$O$24*InstalledCapacity*(1+CPI)^(W5-1),假设及结论!$I$24*InstalledCapacity*(1+CPI)^(W5-1)),IF(假设及结论!$B$24=1,假设及结论!$N$24*InstalledCapacity*(1+CPI)^(W5-1),假设及结论!$H$24*InstalledCapacity*(1+CPI)^(W5-1)))),IF(假设及结论!$D$24=2,W28,IF(W6=0,0,IF(W5&gt;ConstructPeriod+假设及结论!$C$24,IF(假设及结论!$B$24=1,假设及结论!$O$24*InstalledCapacity*假设及结论!$E$18*(1+CPI)^(W5-1),假设及结论!$I$24*InstalledCapacity*假设及结论!$E$18*(1+CPI)^(W5-1)),IF(假设及结论!$B$24=1,假设及结论!$N$24*InstalledCapacity*假设及结论!$E$18*(1+CPI)^(W5-1),假设及结论!$H$24*InstalledCapacity*假设及结论!$E$18*(1+CPI)^(W5-1))))))</f>
        <v>703.228661292481</v>
      </c>
      <c r="X7" s="703">
        <f>IF(假设及结论!$D$24=1,IF(X6=0,0,IF(X5&gt;ConstructPeriod+假设及结论!$C$24,IF(假设及结论!$B$24=1,假设及结论!$O$24*InstalledCapacity*(1+CPI)^(X5-1),假设及结论!$I$24*InstalledCapacity*(1+CPI)^(X5-1)),IF(假设及结论!$B$24=1,假设及结论!$N$24*InstalledCapacity*(1+CPI)^(X5-1),假设及结论!$H$24*InstalledCapacity*(1+CPI)^(X5-1)))),IF(假设及结论!$D$24=2,X28,IF(X6=0,0,IF(X5&gt;ConstructPeriod+假设及结论!$C$24,IF(假设及结论!$B$24=1,假设及结论!$O$24*InstalledCapacity*假设及结论!$E$18*(1+CPI)^(X5-1),假设及结论!$I$24*InstalledCapacity*假设及结论!$E$18*(1+CPI)^(X5-1)),IF(假设及结论!$B$24=1,假设及结论!$N$24*InstalledCapacity*假设及结论!$E$18*(1+CPI)^(X5-1),假设及结论!$H$24*InstalledCapacity*假设及结论!$E$18*(1+CPI)^(X5-1))))))</f>
        <v>703.931889953773</v>
      </c>
      <c r="Y7" s="703">
        <f>IF(假设及结论!$D$24=1,IF(Y6=0,0,IF(Y5&gt;ConstructPeriod+假设及结论!$C$24,IF(假设及结论!$B$24=1,假设及结论!$O$24*InstalledCapacity*(1+CPI)^(Y5-1),假设及结论!$I$24*InstalledCapacity*(1+CPI)^(Y5-1)),IF(假设及结论!$B$24=1,假设及结论!$N$24*InstalledCapacity*(1+CPI)^(Y5-1),假设及结论!$H$24*InstalledCapacity*(1+CPI)^(Y5-1)))),IF(假设及结论!$D$24=2,Y28,IF(Y6=0,0,IF(Y5&gt;ConstructPeriod+假设及结论!$C$24,IF(假设及结论!$B$24=1,假设及结论!$O$24*InstalledCapacity*假设及结论!$E$18*(1+CPI)^(Y5-1),假设及结论!$I$24*InstalledCapacity*假设及结论!$E$18*(1+CPI)^(Y5-1)),IF(假设及结论!$B$24=1,假设及结论!$N$24*InstalledCapacity*假设及结论!$E$18*(1+CPI)^(Y5-1),假设及结论!$H$24*InstalledCapacity*假设及结论!$E$18*(1+CPI)^(Y5-1))))))</f>
        <v>704.635821843727</v>
      </c>
      <c r="Z7" s="703">
        <f>IF(假设及结论!$D$24=1,IF(Z6=0,0,IF(Z5&gt;ConstructPeriod+假设及结论!$C$24,IF(假设及结论!$B$24=1,假设及结论!$O$24*InstalledCapacity*(1+CPI)^(Z5-1),假设及结论!$I$24*InstalledCapacity*(1+CPI)^(Z5-1)),IF(假设及结论!$B$24=1,假设及结论!$N$24*InstalledCapacity*(1+CPI)^(Z5-1),假设及结论!$H$24*InstalledCapacity*(1+CPI)^(Z5-1)))),IF(假设及结论!$D$24=2,Z28,IF(Z6=0,0,IF(Z5&gt;ConstructPeriod+假设及结论!$C$24,IF(假设及结论!$B$24=1,假设及结论!$O$24*InstalledCapacity*假设及结论!$E$18*(1+CPI)^(Z5-1),假设及结论!$I$24*InstalledCapacity*假设及结论!$E$18*(1+CPI)^(Z5-1)),IF(假设及结论!$B$24=1,假设及结论!$N$24*InstalledCapacity*假设及结论!$E$18*(1+CPI)^(Z5-1),假设及结论!$H$24*InstalledCapacity*假设及结论!$E$18*(1+CPI)^(Z5-1))))))</f>
        <v>705.34045766557</v>
      </c>
      <c r="AA7" s="703">
        <f>IF(假设及结论!$D$24=1,IF(AA6=0,0,IF(AA5&gt;ConstructPeriod+假设及结论!$C$24,IF(假设及结论!$B$24=1,假设及结论!$O$24*InstalledCapacity*(1+CPI)^(AA5-1),假设及结论!$I$24*InstalledCapacity*(1+CPI)^(AA5-1)),IF(假设及结论!$B$24=1,假设及结论!$N$24*InstalledCapacity*(1+CPI)^(AA5-1),假设及结论!$H$24*InstalledCapacity*(1+CPI)^(AA5-1)))),IF(假设及结论!$D$24=2,AA28,IF(AA6=0,0,IF(AA5&gt;ConstructPeriod+假设及结论!$C$24,IF(假设及结论!$B$24=1,假设及结论!$O$24*InstalledCapacity*假设及结论!$E$18*(1+CPI)^(AA5-1),假设及结论!$I$24*InstalledCapacity*假设及结论!$E$18*(1+CPI)^(AA5-1)),IF(假设及结论!$B$24=1,假设及结论!$N$24*InstalledCapacity*假设及结论!$E$18*(1+CPI)^(AA5-1),假设及结论!$H$24*InstalledCapacity*假设及结论!$E$18*(1+CPI)^(AA5-1))))))</f>
        <v>706.045798123236</v>
      </c>
      <c r="AB7" s="703">
        <f>IF(假设及结论!$D$24=1,IF(AB6=0,0,IF(AB5&gt;ConstructPeriod+假设及结论!$C$24,IF(假设及结论!$B$24=1,假设及结论!$O$24*InstalledCapacity*(1+CPI)^(AB5-1),假设及结论!$I$24*InstalledCapacity*(1+CPI)^(AB5-1)),IF(假设及结论!$B$24=1,假设及结论!$N$24*InstalledCapacity*(1+CPI)^(AB5-1),假设及结论!$H$24*InstalledCapacity*(1+CPI)^(AB5-1)))),IF(假设及结论!$D$24=2,AB28,IF(AB6=0,0,IF(AB5&gt;ConstructPeriod+假设及结论!$C$24,IF(假设及结论!$B$24=1,假设及结论!$O$24*InstalledCapacity*假设及结论!$E$18*(1+CPI)^(AB5-1),假设及结论!$I$24*InstalledCapacity*假设及结论!$E$18*(1+CPI)^(AB5-1)),IF(假设及结论!$B$24=1,假设及结论!$N$24*InstalledCapacity*假设及结论!$E$18*(1+CPI)^(AB5-1),假设及结论!$H$24*InstalledCapacity*假设及结论!$E$18*(1+CPI)^(AB5-1))))))</f>
        <v>706.751843921359</v>
      </c>
      <c r="AC7" s="703">
        <f>IF(假设及结论!$D$24=1,IF(AC6=0,0,IF(AC5&gt;ConstructPeriod+假设及结论!$C$24,IF(假设及结论!$B$24=1,假设及结论!$O$24*InstalledCapacity*(1+CPI)^(AC5-1),假设及结论!$I$24*InstalledCapacity*(1+CPI)^(AC5-1)),IF(假设及结论!$B$24=1,假设及结论!$N$24*InstalledCapacity*(1+CPI)^(AC5-1),假设及结论!$H$24*InstalledCapacity*(1+CPI)^(AC5-1)))),IF(假设及结论!$D$24=2,AC28,IF(AC6=0,0,IF(AC5&gt;ConstructPeriod+假设及结论!$C$24,IF(假设及结论!$B$24=1,假设及结论!$O$24*InstalledCapacity*假设及结论!$E$18*(1+CPI)^(AC5-1),假设及结论!$I$24*InstalledCapacity*假设及结论!$E$18*(1+CPI)^(AC5-1)),IF(假设及结论!$B$24=1,假设及结论!$N$24*InstalledCapacity*假设及结论!$E$18*(1+CPI)^(AC5-1),假设及结论!$H$24*InstalledCapacity*假设及结论!$E$18*(1+CPI)^(AC5-1))))))</f>
        <v>707.45859576528</v>
      </c>
      <c r="AD7" s="703">
        <f>IF(假设及结论!$D$24=1,IF(AD6=0,0,IF(AD5&gt;ConstructPeriod+假设及结论!$C$24,IF(假设及结论!$B$24=1,假设及结论!$O$24*InstalledCapacity*(1+CPI)^(AD5-1),假设及结论!$I$24*InstalledCapacity*(1+CPI)^(AD5-1)),IF(假设及结论!$B$24=1,假设及结论!$N$24*InstalledCapacity*(1+CPI)^(AD5-1),假设及结论!$H$24*InstalledCapacity*(1+CPI)^(AD5-1)))),IF(假设及结论!$D$24=2,AD28,IF(AD6=0,0,IF(AD5&gt;ConstructPeriod+假设及结论!$C$24,IF(假设及结论!$B$24=1,假设及结论!$O$24*InstalledCapacity*假设及结论!$E$18*(1+CPI)^(AD5-1),假设及结论!$I$24*InstalledCapacity*假设及结论!$E$18*(1+CPI)^(AD5-1)),IF(假设及结论!$B$24=1,假设及结论!$N$24*InstalledCapacity*假设及结论!$E$18*(1+CPI)^(AD5-1),假设及结论!$H$24*InstalledCapacity*假设及结论!$E$18*(1+CPI)^(AD5-1))))))</f>
        <v>0</v>
      </c>
      <c r="AE7" s="704"/>
      <c r="AF7" s="704"/>
      <c r="AG7" s="704"/>
      <c r="AH7" s="704"/>
      <c r="AI7" s="704"/>
      <c r="AJ7" s="704"/>
      <c r="AK7" s="704"/>
      <c r="AL7" s="704"/>
      <c r="AM7" s="704"/>
      <c r="AN7" s="704"/>
      <c r="AO7" s="704"/>
      <c r="AP7" s="704"/>
      <c r="AQ7" s="704"/>
      <c r="AR7" s="704"/>
      <c r="AS7" s="704"/>
      <c r="AT7" s="704"/>
      <c r="AU7" s="704"/>
      <c r="AV7" s="704"/>
      <c r="AW7" s="704"/>
      <c r="AX7" s="704"/>
      <c r="AY7" s="704"/>
      <c r="AZ7" s="704"/>
      <c r="BA7" s="704"/>
      <c r="BB7" s="704"/>
    </row>
    <row r="8" spans="1:54">
      <c r="A8" s="700">
        <v>3</v>
      </c>
      <c r="B8" s="705" t="s">
        <v>696</v>
      </c>
      <c r="C8" s="702">
        <f t="shared" si="0"/>
        <v>18995.7112620081</v>
      </c>
      <c r="D8" s="703">
        <f>IF(假设及结论!$D$24=1,IF(D6=0,0,IF(D5&gt;ConstructPeriod+假设及结论!$C$24,IF(假设及结论!$B$24=1,假设及结论!$M$24*InstalledCapacity*(1+CPI)^(D5-1),假设及结论!$G$24*InstalledCapacity*(1+CPI)^(D5-1)),IF(假设及结论!$B$24=1,假设及结论!$L$24*InstalledCapacity*(1+CPI)^(D5-1),假设及结论!$F$24*InstalledCapacity*(1+CPI)^(D5-1)))),IF(假设及结论!$D$24=2,0,IF(D6=0,0,IF(D5&gt;ConstructPeriod+假设及结论!$C$24,IF(假设及结论!$B$24=1,假设及结论!$M$27*InstalledCapacity*假设及结论!$E$18*(1+CPI)^(D5-1),假设及结论!$G$27*InstalledCapacity*假设及结论!$E$18*(1+CPI)^(D5-1)),IF(假设及结论!$B$24=1,假设及结论!$L$27*InstalledCapacity*假设及结论!$E$18*(1+CPI)^(D5-1),假设及结论!$F$27*InstalledCapacity*假设及结论!$E$18*(1+CPI)^(D5-1))))))</f>
        <v>0</v>
      </c>
      <c r="E8" s="703">
        <f>IF(假设及结论!$D$24=1,IF(E6=0,0,IF(E5&gt;ConstructPeriod+假设及结论!$C$24,IF(假设及结论!$B$24=1,假设及结论!$M$24*InstalledCapacity*(1+CPI)^(E5-1),假设及结论!$G$24*InstalledCapacity*(1+CPI)^(E5-1)),IF(假设及结论!$B$24=1,假设及结论!$L$24*InstalledCapacity*(1+CPI)^(E5-1),假设及结论!$F$24*InstalledCapacity*(1+CPI)^(E5-1)))),IF(假设及结论!$D$24=2,0,IF(E6=0,0,IF(E5&gt;ConstructPeriod+假设及结论!$C$24,IF(假设及结论!$B$24=1,假设及结论!$M$27*InstalledCapacity*假设及结论!$E$18*(1+CPI)^(E5-1),假设及结论!$G$27*InstalledCapacity*假设及结论!$E$18*(1+CPI)^(E5-1)),IF(假设及结论!$B$24=1,假设及结论!$L$27*InstalledCapacity*假设及结论!$E$18*(1+CPI)^(E5-1),假设及结论!$F$27*InstalledCapacity*假设及结论!$E$18*(1+CPI)^(E5-1))))))</f>
        <v>750.75</v>
      </c>
      <c r="F8" s="703">
        <f>IF(假设及结论!$D$24=1,IF(F6=0,0,IF(F5&gt;ConstructPeriod+假设及结论!$C$24,IF(假设及结论!$B$24=1,假设及结论!$M$24*InstalledCapacity*(1+CPI)^(F5-1),假设及结论!$G$24*InstalledCapacity*(1+CPI)^(F5-1)),IF(假设及结论!$B$24=1,假设及结论!$L$24*InstalledCapacity*(1+CPI)^(F5-1),假设及结论!$F$24*InstalledCapacity*(1+CPI)^(F5-1)))),IF(假设及结论!$D$24=2,0,IF(F6=0,0,IF(F5&gt;ConstructPeriod+假设及结论!$C$24,IF(假设及结论!$B$24=1,假设及结论!$M$27*InstalledCapacity*假设及结论!$E$18*(1+CPI)^(F5-1),假设及结论!$G$27*InstalledCapacity*假设及结论!$E$18*(1+CPI)^(F5-1)),IF(假设及结论!$B$24=1,假设及结论!$L$27*InstalledCapacity*假设及结论!$E$18*(1+CPI)^(F5-1),假设及结论!$F$27*InstalledCapacity*假设及结论!$E$18*(1+CPI)^(F5-1))))))</f>
        <v>751.50075</v>
      </c>
      <c r="G8" s="703">
        <f>IF(假设及结论!$D$24=1,IF(G6=0,0,IF(G5&gt;ConstructPeriod+假设及结论!$C$24,IF(假设及结论!$B$24=1,假设及结论!$M$24*InstalledCapacity*(1+CPI)^(G5-1),假设及结论!$G$24*InstalledCapacity*(1+CPI)^(G5-1)),IF(假设及结论!$B$24=1,假设及结论!$L$24*InstalledCapacity*(1+CPI)^(G5-1),假设及结论!$F$24*InstalledCapacity*(1+CPI)^(G5-1)))),IF(假设及结论!$D$24=2,0,IF(G6=0,0,IF(G5&gt;ConstructPeriod+假设及结论!$C$24,IF(假设及结论!$B$24=1,假设及结论!$M$27*InstalledCapacity*假设及结论!$E$18*(1+CPI)^(G5-1),假设及结论!$G$27*InstalledCapacity*假设及结论!$E$18*(1+CPI)^(G5-1)),IF(假设及结论!$B$24=1,假设及结论!$L$27*InstalledCapacity*假设及结论!$E$18*(1+CPI)^(G5-1),假设及结论!$F$27*InstalledCapacity*假设及结论!$E$18*(1+CPI)^(G5-1))))))</f>
        <v>752.25225075</v>
      </c>
      <c r="H8" s="703">
        <f>IF(假设及结论!$D$24=1,IF(H6=0,0,IF(H5&gt;ConstructPeriod+假设及结论!$C$24,IF(假设及结论!$B$24=1,假设及结论!$M$24*InstalledCapacity*(1+CPI)^(H5-1),假设及结论!$G$24*InstalledCapacity*(1+CPI)^(H5-1)),IF(假设及结论!$B$24=1,假设及结论!$L$24*InstalledCapacity*(1+CPI)^(H5-1),假设及结论!$F$24*InstalledCapacity*(1+CPI)^(H5-1)))),IF(假设及结论!$D$24=2,0,IF(H6=0,0,IF(H5&gt;ConstructPeriod+假设及结论!$C$24,IF(假设及结论!$B$24=1,假设及结论!$M$27*InstalledCapacity*假设及结论!$E$18*(1+CPI)^(H5-1),假设及结论!$G$27*InstalledCapacity*假设及结论!$E$18*(1+CPI)^(H5-1)),IF(假设及结论!$B$24=1,假设及结论!$L$27*InstalledCapacity*假设及结论!$E$18*(1+CPI)^(H5-1),假设及结论!$F$27*InstalledCapacity*假设及结论!$E$18*(1+CPI)^(H5-1))))))</f>
        <v>753.00450300075</v>
      </c>
      <c r="I8" s="703">
        <f>IF(假设及结论!$D$24=1,IF(I6=0,0,IF(I5&gt;ConstructPeriod+假设及结论!$C$24,IF(假设及结论!$B$24=1,假设及结论!$M$24*InstalledCapacity*(1+CPI)^(I5-1),假设及结论!$G$24*InstalledCapacity*(1+CPI)^(I5-1)),IF(假设及结论!$B$24=1,假设及结论!$L$24*InstalledCapacity*(1+CPI)^(I5-1),假设及结论!$F$24*InstalledCapacity*(1+CPI)^(I5-1)))),IF(假设及结论!$D$24=2,0,IF(I6=0,0,IF(I5&gt;ConstructPeriod+假设及结论!$C$24,IF(假设及结论!$B$24=1,假设及结论!$M$27*InstalledCapacity*假设及结论!$E$18*(1+CPI)^(I5-1),假设及结论!$G$27*InstalledCapacity*假设及结论!$E$18*(1+CPI)^(I5-1)),IF(假设及结论!$B$24=1,假设及结论!$L$27*InstalledCapacity*假设及结论!$E$18*(1+CPI)^(I5-1),假设及结论!$F$27*InstalledCapacity*假设及结论!$E$18*(1+CPI)^(I5-1))))))</f>
        <v>753.75750750375</v>
      </c>
      <c r="J8" s="703">
        <f>IF(假设及结论!$D$24=1,IF(J6=0,0,IF(J5&gt;ConstructPeriod+假设及结论!$C$24,IF(假设及结论!$B$24=1,假设及结论!$M$24*InstalledCapacity*(1+CPI)^(J5-1),假设及结论!$G$24*InstalledCapacity*(1+CPI)^(J5-1)),IF(假设及结论!$B$24=1,假设及结论!$L$24*InstalledCapacity*(1+CPI)^(J5-1),假设及结论!$F$24*InstalledCapacity*(1+CPI)^(J5-1)))),IF(假设及结论!$D$24=2,0,IF(J6=0,0,IF(J5&gt;ConstructPeriod+假设及结论!$C$24,IF(假设及结论!$B$24=1,假设及结论!$M$27*InstalledCapacity*假设及结论!$E$18*(1+CPI)^(J5-1),假设及结论!$G$27*InstalledCapacity*假设及结论!$E$18*(1+CPI)^(J5-1)),IF(假设及结论!$B$24=1,假设及结论!$L$27*InstalledCapacity*假设及结论!$E$18*(1+CPI)^(J5-1),假设及结论!$F$27*InstalledCapacity*假设及结论!$E$18*(1+CPI)^(J5-1))))))</f>
        <v>754.511265011254</v>
      </c>
      <c r="K8" s="703">
        <f>IF(假设及结论!$D$24=1,IF(K6=0,0,IF(K5&gt;ConstructPeriod+假设及结论!$C$24,IF(假设及结论!$B$24=1,假设及结论!$M$24*InstalledCapacity*(1+CPI)^(K5-1),假设及结论!$G$24*InstalledCapacity*(1+CPI)^(K5-1)),IF(假设及结论!$B$24=1,假设及结论!$L$24*InstalledCapacity*(1+CPI)^(K5-1),假设及结论!$F$24*InstalledCapacity*(1+CPI)^(K5-1)))),IF(假设及结论!$D$24=2,0,IF(K6=0,0,IF(K5&gt;ConstructPeriod+假设及结论!$C$24,IF(假设及结论!$B$24=1,假设及结论!$M$27*InstalledCapacity*假设及结论!$E$18*(1+CPI)^(K5-1),假设及结论!$G$27*InstalledCapacity*假设及结论!$E$18*(1+CPI)^(K5-1)),IF(假设及结论!$B$24=1,假设及结论!$L$27*InstalledCapacity*假设及结论!$E$18*(1+CPI)^(K5-1),假设及结论!$F$27*InstalledCapacity*假设及结论!$E$18*(1+CPI)^(K5-1))))))</f>
        <v>755.265776276265</v>
      </c>
      <c r="L8" s="703">
        <f>IF(假设及结论!$D$24=1,IF(L6=0,0,IF(L5&gt;ConstructPeriod+假设及结论!$C$24,IF(假设及结论!$B$24=1,假设及结论!$M$24*InstalledCapacity*(1+CPI)^(L5-1),假设及结论!$G$24*InstalledCapacity*(1+CPI)^(L5-1)),IF(假设及结论!$B$24=1,假设及结论!$L$24*InstalledCapacity*(1+CPI)^(L5-1),假设及结论!$F$24*InstalledCapacity*(1+CPI)^(L5-1)))),IF(假设及结论!$D$24=2,0,IF(L6=0,0,IF(L5&gt;ConstructPeriod+假设及结论!$C$24,IF(假设及结论!$B$24=1,假设及结论!$M$27*InstalledCapacity*假设及结论!$E$18*(1+CPI)^(L5-1),假设及结论!$G$27*InstalledCapacity*假设及结论!$E$18*(1+CPI)^(L5-1)),IF(假设及结论!$B$24=1,假设及结论!$L$27*InstalledCapacity*假设及结论!$E$18*(1+CPI)^(L5-1),假设及结论!$F$27*InstalledCapacity*假设及结论!$E$18*(1+CPI)^(L5-1))))))</f>
        <v>756.021042052541</v>
      </c>
      <c r="M8" s="703">
        <f>IF(假设及结论!$D$24=1,IF(M6=0,0,IF(M5&gt;ConstructPeriod+假设及结论!$C$24,IF(假设及结论!$B$24=1,假设及结论!$M$24*InstalledCapacity*(1+CPI)^(M5-1),假设及结论!$G$24*InstalledCapacity*(1+CPI)^(M5-1)),IF(假设及结论!$B$24=1,假设及结论!$L$24*InstalledCapacity*(1+CPI)^(M5-1),假设及结论!$F$24*InstalledCapacity*(1+CPI)^(M5-1)))),IF(假设及结论!$D$24=2,0,IF(M6=0,0,IF(M5&gt;ConstructPeriod+假设及结论!$C$24,IF(假设及结论!$B$24=1,假设及结论!$M$27*InstalledCapacity*假设及结论!$E$18*(1+CPI)^(M5-1),假设及结论!$G$27*InstalledCapacity*假设及结论!$E$18*(1+CPI)^(M5-1)),IF(假设及结论!$B$24=1,假设及结论!$L$27*InstalledCapacity*假设及结论!$E$18*(1+CPI)^(M5-1),假设及结论!$F$27*InstalledCapacity*假设及结论!$E$18*(1+CPI)^(M5-1))))))</f>
        <v>756.777063094594</v>
      </c>
      <c r="N8" s="703">
        <f>IF(假设及结论!$D$24=1,IF(N6=0,0,IF(N5&gt;ConstructPeriod+假设及结论!$C$24,IF(假设及结论!$B$24=1,假设及结论!$M$24*InstalledCapacity*(1+CPI)^(N5-1),假设及结论!$G$24*InstalledCapacity*(1+CPI)^(N5-1)),IF(假设及结论!$B$24=1,假设及结论!$L$24*InstalledCapacity*(1+CPI)^(N5-1),假设及结论!$F$24*InstalledCapacity*(1+CPI)^(N5-1)))),IF(假设及结论!$D$24=2,0,IF(N6=0,0,IF(N5&gt;ConstructPeriod+假设及结论!$C$24,IF(假设及结论!$B$24=1,假设及结论!$M$27*InstalledCapacity*假设及结论!$E$18*(1+CPI)^(N5-1),假设及结论!$G$27*InstalledCapacity*假设及结论!$E$18*(1+CPI)^(N5-1)),IF(假设及结论!$B$24=1,假设及结论!$L$27*InstalledCapacity*假设及结论!$E$18*(1+CPI)^(N5-1),假设及结论!$F$27*InstalledCapacity*假设及结论!$E$18*(1+CPI)^(N5-1))))))</f>
        <v>757.533840157688</v>
      </c>
      <c r="O8" s="703">
        <f>IF(假设及结论!$D$24=1,IF(O6=0,0,IF(O5&gt;ConstructPeriod+假设及结论!$C$24,IF(假设及结论!$B$24=1,假设及结论!$M$24*InstalledCapacity*(1+CPI)^(O5-1),假设及结论!$G$24*InstalledCapacity*(1+CPI)^(O5-1)),IF(假设及结论!$B$24=1,假设及结论!$L$24*InstalledCapacity*(1+CPI)^(O5-1),假设及结论!$F$24*InstalledCapacity*(1+CPI)^(O5-1)))),IF(假设及结论!$D$24=2,0,IF(O6=0,0,IF(O5&gt;ConstructPeriod+假设及结论!$C$24,IF(假设及结论!$B$24=1,假设及结论!$M$27*InstalledCapacity*假设及结论!$E$18*(1+CPI)^(O5-1),假设及结论!$G$27*InstalledCapacity*假设及结论!$E$18*(1+CPI)^(O5-1)),IF(假设及结论!$B$24=1,假设及结论!$L$27*InstalledCapacity*假设及结论!$E$18*(1+CPI)^(O5-1),假设及结论!$F$27*InstalledCapacity*假设及结论!$E$18*(1+CPI)^(O5-1))))))</f>
        <v>758.291373997846</v>
      </c>
      <c r="P8" s="703">
        <f>IF(假设及结论!$D$24=1,IF(P6=0,0,IF(P5&gt;ConstructPeriod+假设及结论!$C$24,IF(假设及结论!$B$24=1,假设及结论!$M$24*InstalledCapacity*(1+CPI)^(P5-1),假设及结论!$G$24*InstalledCapacity*(1+CPI)^(P5-1)),IF(假设及结论!$B$24=1,假设及结论!$L$24*InstalledCapacity*(1+CPI)^(P5-1),假设及结论!$F$24*InstalledCapacity*(1+CPI)^(P5-1)))),IF(假设及结论!$D$24=2,0,IF(P6=0,0,IF(P5&gt;ConstructPeriod+假设及结论!$C$24,IF(假设及结论!$B$24=1,假设及结论!$M$27*InstalledCapacity*假设及结论!$E$18*(1+CPI)^(P5-1),假设及结论!$G$27*InstalledCapacity*假设及结论!$E$18*(1+CPI)^(P5-1)),IF(假设及结论!$B$24=1,假设及结论!$L$27*InstalledCapacity*假设及结论!$E$18*(1+CPI)^(P5-1),假设及结论!$F$27*InstalledCapacity*假设及结论!$E$18*(1+CPI)^(P5-1))))))</f>
        <v>759.049665371844</v>
      </c>
      <c r="Q8" s="703">
        <f>IF(假设及结论!$D$24=1,IF(Q6=0,0,IF(Q5&gt;ConstructPeriod+假设及结论!$C$24,IF(假设及结论!$B$24=1,假设及结论!$M$24*InstalledCapacity*(1+CPI)^(Q5-1),假设及结论!$G$24*InstalledCapacity*(1+CPI)^(Q5-1)),IF(假设及结论!$B$24=1,假设及结论!$L$24*InstalledCapacity*(1+CPI)^(Q5-1),假设及结论!$F$24*InstalledCapacity*(1+CPI)^(Q5-1)))),IF(假设及结论!$D$24=2,0,IF(Q6=0,0,IF(Q5&gt;ConstructPeriod+假设及结论!$C$24,IF(假设及结论!$B$24=1,假设及结论!$M$27*InstalledCapacity*假设及结论!$E$18*(1+CPI)^(Q5-1),假设及结论!$G$27*InstalledCapacity*假设及结论!$E$18*(1+CPI)^(Q5-1)),IF(假设及结论!$B$24=1,假设及结论!$L$27*InstalledCapacity*假设及结论!$E$18*(1+CPI)^(Q5-1),假设及结论!$F$27*InstalledCapacity*假设及结论!$E$18*(1+CPI)^(Q5-1))))))</f>
        <v>759.808715037216</v>
      </c>
      <c r="R8" s="703">
        <f>IF(假设及结论!$D$24=1,IF(R6=0,0,IF(R5&gt;ConstructPeriod+假设及结论!$C$24,IF(假设及结论!$B$24=1,假设及结论!$M$24*InstalledCapacity*(1+CPI)^(R5-1),假设及结论!$G$24*InstalledCapacity*(1+CPI)^(R5-1)),IF(假设及结论!$B$24=1,假设及结论!$L$24*InstalledCapacity*(1+CPI)^(R5-1),假设及结论!$F$24*InstalledCapacity*(1+CPI)^(R5-1)))),IF(假设及结论!$D$24=2,0,IF(R6=0,0,IF(R5&gt;ConstructPeriod+假设及结论!$C$24,IF(假设及结论!$B$24=1,假设及结论!$M$27*InstalledCapacity*假设及结论!$E$18*(1+CPI)^(R5-1),假设及结论!$G$27*InstalledCapacity*假设及结论!$E$18*(1+CPI)^(R5-1)),IF(假设及结论!$B$24=1,假设及结论!$L$27*InstalledCapacity*假设及结论!$E$18*(1+CPI)^(R5-1),假设及结论!$F$27*InstalledCapacity*假设及结论!$E$18*(1+CPI)^(R5-1))))))</f>
        <v>760.568523752253</v>
      </c>
      <c r="S8" s="703">
        <f>IF(假设及结论!$D$24=1,IF(S6=0,0,IF(S5&gt;ConstructPeriod+假设及结论!$C$24,IF(假设及结论!$B$24=1,假设及结论!$M$24*InstalledCapacity*(1+CPI)^(S5-1),假设及结论!$G$24*InstalledCapacity*(1+CPI)^(S5-1)),IF(假设及结论!$B$24=1,假设及结论!$L$24*InstalledCapacity*(1+CPI)^(S5-1),假设及结论!$F$24*InstalledCapacity*(1+CPI)^(S5-1)))),IF(假设及结论!$D$24=2,0,IF(S6=0,0,IF(S5&gt;ConstructPeriod+假设及结论!$C$24,IF(假设及结论!$B$24=1,假设及结论!$M$27*InstalledCapacity*假设及结论!$E$18*(1+CPI)^(S5-1),假设及结论!$G$27*InstalledCapacity*假设及结论!$E$18*(1+CPI)^(S5-1)),IF(假设及结论!$B$24=1,假设及结论!$L$27*InstalledCapacity*假设及结论!$E$18*(1+CPI)^(S5-1),假设及结论!$F$27*InstalledCapacity*假设及结论!$E$18*(1+CPI)^(S5-1))))))</f>
        <v>761.329092276005</v>
      </c>
      <c r="T8" s="703">
        <f>IF(假设及结论!$D$24=1,IF(T6=0,0,IF(T5&gt;ConstructPeriod+假设及结论!$C$24,IF(假设及结论!$B$24=1,假设及结论!$M$24*InstalledCapacity*(1+CPI)^(T5-1),假设及结论!$G$24*InstalledCapacity*(1+CPI)^(T5-1)),IF(假设及结论!$B$24=1,假设及结论!$L$24*InstalledCapacity*(1+CPI)^(T5-1),假设及结论!$F$24*InstalledCapacity*(1+CPI)^(T5-1)))),IF(假设及结论!$D$24=2,0,IF(T6=0,0,IF(T5&gt;ConstructPeriod+假设及结论!$C$24,IF(假设及结论!$B$24=1,假设及结论!$M$27*InstalledCapacity*假设及结论!$E$18*(1+CPI)^(T5-1),假设及结论!$G$27*InstalledCapacity*假设及结论!$E$18*(1+CPI)^(T5-1)),IF(假设及结论!$B$24=1,假设及结论!$L$27*InstalledCapacity*假设及结论!$E$18*(1+CPI)^(T5-1),假设及结论!$F$27*InstalledCapacity*假设及结论!$E$18*(1+CPI)^(T5-1))))))</f>
        <v>762.090421368281</v>
      </c>
      <c r="U8" s="703">
        <f>IF(假设及结论!$D$24=1,IF(U6=0,0,IF(U5&gt;ConstructPeriod+假设及结论!$C$24,IF(假设及结论!$B$24=1,假设及结论!$M$24*InstalledCapacity*(1+CPI)^(U5-1),假设及结论!$G$24*InstalledCapacity*(1+CPI)^(U5-1)),IF(假设及结论!$B$24=1,假设及结论!$L$24*InstalledCapacity*(1+CPI)^(U5-1),假设及结论!$F$24*InstalledCapacity*(1+CPI)^(U5-1)))),IF(假设及结论!$D$24=2,0,IF(U6=0,0,IF(U5&gt;ConstructPeriod+假设及结论!$C$24,IF(假设及结论!$B$24=1,假设及结论!$M$27*InstalledCapacity*假设及结论!$E$18*(1+CPI)^(U5-1),假设及结论!$G$27*InstalledCapacity*假设及结论!$E$18*(1+CPI)^(U5-1)),IF(假设及结论!$B$24=1,假设及结论!$L$27*InstalledCapacity*假设及结论!$E$18*(1+CPI)^(U5-1),假设及结论!$F$27*InstalledCapacity*假设及结论!$E$18*(1+CPI)^(U5-1))))))</f>
        <v>762.852511789649</v>
      </c>
      <c r="V8" s="703">
        <f>IF(假设及结论!$D$24=1,IF(V6=0,0,IF(V5&gt;ConstructPeriod+假设及结论!$C$24,IF(假设及结论!$B$24=1,假设及结论!$M$24*InstalledCapacity*(1+CPI)^(V5-1),假设及结论!$G$24*InstalledCapacity*(1+CPI)^(V5-1)),IF(假设及结论!$B$24=1,假设及结论!$L$24*InstalledCapacity*(1+CPI)^(V5-1),假设及结论!$F$24*InstalledCapacity*(1+CPI)^(V5-1)))),IF(假设及结论!$D$24=2,0,IF(V6=0,0,IF(V5&gt;ConstructPeriod+假设及结论!$C$24,IF(假设及结论!$B$24=1,假设及结论!$M$27*InstalledCapacity*假设及结论!$E$18*(1+CPI)^(V5-1),假设及结论!$G$27*InstalledCapacity*假设及结论!$E$18*(1+CPI)^(V5-1)),IF(假设及结论!$B$24=1,假设及结论!$L$27*InstalledCapacity*假设及结论!$E$18*(1+CPI)^(V5-1),假设及结论!$F$27*InstalledCapacity*假设及结论!$E$18*(1+CPI)^(V5-1))))))</f>
        <v>763.615364301438</v>
      </c>
      <c r="W8" s="703">
        <f>IF(假设及结论!$D$24=1,IF(W6=0,0,IF(W5&gt;ConstructPeriod+假设及结论!$C$24,IF(假设及结论!$B$24=1,假设及结论!$M$24*InstalledCapacity*(1+CPI)^(W5-1),假设及结论!$G$24*InstalledCapacity*(1+CPI)^(W5-1)),IF(假设及结论!$B$24=1,假设及结论!$L$24*InstalledCapacity*(1+CPI)^(W5-1),假设及结论!$F$24*InstalledCapacity*(1+CPI)^(W5-1)))),IF(假设及结论!$D$24=2,0,IF(W6=0,0,IF(W5&gt;ConstructPeriod+假设及结论!$C$24,IF(假设及结论!$B$24=1,假设及结论!$M$27*InstalledCapacity*假设及结论!$E$18*(1+CPI)^(W5-1),假设及结论!$G$27*InstalledCapacity*假设及结论!$E$18*(1+CPI)^(W5-1)),IF(假设及结论!$B$24=1,假设及结论!$L$27*InstalledCapacity*假设及结论!$E$18*(1+CPI)^(W5-1),假设及结论!$F$27*InstalledCapacity*假设及结论!$E$18*(1+CPI)^(W5-1))))))</f>
        <v>764.37897966574</v>
      </c>
      <c r="X8" s="703">
        <f>IF(假设及结论!$D$24=1,IF(X6=0,0,IF(X5&gt;ConstructPeriod+假设及结论!$C$24,IF(假设及结论!$B$24=1,假设及结论!$M$24*InstalledCapacity*(1+CPI)^(X5-1),假设及结论!$G$24*InstalledCapacity*(1+CPI)^(X5-1)),IF(假设及结论!$B$24=1,假设及结论!$L$24*InstalledCapacity*(1+CPI)^(X5-1),假设及结论!$F$24*InstalledCapacity*(1+CPI)^(X5-1)))),IF(假设及结论!$D$24=2,0,IF(X6=0,0,IF(X5&gt;ConstructPeriod+假设及结论!$C$24,IF(假设及结论!$B$24=1,假设及结论!$M$27*InstalledCapacity*假设及结论!$E$18*(1+CPI)^(X5-1),假设及结论!$G$27*InstalledCapacity*假设及结论!$E$18*(1+CPI)^(X5-1)),IF(假设及结论!$B$24=1,假设及结论!$L$27*InstalledCapacity*假设及结论!$E$18*(1+CPI)^(X5-1),假设及结论!$F$27*InstalledCapacity*假设及结论!$E$18*(1+CPI)^(X5-1))))))</f>
        <v>765.143358645405</v>
      </c>
      <c r="Y8" s="703">
        <f>IF(假设及结论!$D$24=1,IF(Y6=0,0,IF(Y5&gt;ConstructPeriod+假设及结论!$C$24,IF(假设及结论!$B$24=1,假设及结论!$M$24*InstalledCapacity*(1+CPI)^(Y5-1),假设及结论!$G$24*InstalledCapacity*(1+CPI)^(Y5-1)),IF(假设及结论!$B$24=1,假设及结论!$L$24*InstalledCapacity*(1+CPI)^(Y5-1),假设及结论!$F$24*InstalledCapacity*(1+CPI)^(Y5-1)))),IF(假设及结论!$D$24=2,0,IF(Y6=0,0,IF(Y5&gt;ConstructPeriod+假设及结论!$C$24,IF(假设及结论!$B$24=1,假设及结论!$M$27*InstalledCapacity*假设及结论!$E$18*(1+CPI)^(Y5-1),假设及结论!$G$27*InstalledCapacity*假设及结论!$E$18*(1+CPI)^(Y5-1)),IF(假设及结论!$B$24=1,假设及结论!$L$27*InstalledCapacity*假设及结论!$E$18*(1+CPI)^(Y5-1),假设及结论!$F$27*InstalledCapacity*假设及结论!$E$18*(1+CPI)^(Y5-1))))))</f>
        <v>765.908502004051</v>
      </c>
      <c r="Z8" s="703">
        <f>IF(假设及结论!$D$24=1,IF(Z6=0,0,IF(Z5&gt;ConstructPeriod+假设及结论!$C$24,IF(假设及结论!$B$24=1,假设及结论!$M$24*InstalledCapacity*(1+CPI)^(Z5-1),假设及结论!$G$24*InstalledCapacity*(1+CPI)^(Z5-1)),IF(假设及结论!$B$24=1,假设及结论!$L$24*InstalledCapacity*(1+CPI)^(Z5-1),假设及结论!$F$24*InstalledCapacity*(1+CPI)^(Z5-1)))),IF(假设及结论!$D$24=2,0,IF(Z6=0,0,IF(Z5&gt;ConstructPeriod+假设及结论!$C$24,IF(假设及结论!$B$24=1,假设及结论!$M$27*InstalledCapacity*假设及结论!$E$18*(1+CPI)^(Z5-1),假设及结论!$G$27*InstalledCapacity*假设及结论!$E$18*(1+CPI)^(Z5-1)),IF(假设及结论!$B$24=1,假设及结论!$L$27*InstalledCapacity*假设及结论!$E$18*(1+CPI)^(Z5-1),假设及结论!$F$27*InstalledCapacity*假设及结论!$E$18*(1+CPI)^(Z5-1))))))</f>
        <v>766.674410506055</v>
      </c>
      <c r="AA8" s="703">
        <f>IF(假设及结论!$D$24=1,IF(AA6=0,0,IF(AA5&gt;ConstructPeriod+假设及结论!$C$24,IF(假设及结论!$B$24=1,假设及结论!$M$24*InstalledCapacity*(1+CPI)^(AA5-1),假设及结论!$G$24*InstalledCapacity*(1+CPI)^(AA5-1)),IF(假设及结论!$B$24=1,假设及结论!$L$24*InstalledCapacity*(1+CPI)^(AA5-1),假设及结论!$F$24*InstalledCapacity*(1+CPI)^(AA5-1)))),IF(假设及结论!$D$24=2,0,IF(AA6=0,0,IF(AA5&gt;ConstructPeriod+假设及结论!$C$24,IF(假设及结论!$B$24=1,假设及结论!$M$27*InstalledCapacity*假设及结论!$E$18*(1+CPI)^(AA5-1),假设及结论!$G$27*InstalledCapacity*假设及结论!$E$18*(1+CPI)^(AA5-1)),IF(假设及结论!$B$24=1,假设及结论!$L$27*InstalledCapacity*假设及结论!$E$18*(1+CPI)^(AA5-1),假设及结论!$F$27*InstalledCapacity*假设及结论!$E$18*(1+CPI)^(AA5-1))))))</f>
        <v>767.441084916561</v>
      </c>
      <c r="AB8" s="703">
        <f>IF(假设及结论!$D$24=1,IF(AB6=0,0,IF(AB5&gt;ConstructPeriod+假设及结论!$C$24,IF(假设及结论!$B$24=1,假设及结论!$M$24*InstalledCapacity*(1+CPI)^(AB5-1),假设及结论!$G$24*InstalledCapacity*(1+CPI)^(AB5-1)),IF(假设及结论!$B$24=1,假设及结论!$L$24*InstalledCapacity*(1+CPI)^(AB5-1),假设及结论!$F$24*InstalledCapacity*(1+CPI)^(AB5-1)))),IF(假设及结论!$D$24=2,0,IF(AB6=0,0,IF(AB5&gt;ConstructPeriod+假设及结论!$C$24,IF(假设及结论!$B$24=1,假设及结论!$M$27*InstalledCapacity*假设及结论!$E$18*(1+CPI)^(AB5-1),假设及结论!$G$27*InstalledCapacity*假设及结论!$E$18*(1+CPI)^(AB5-1)),IF(假设及结论!$B$24=1,假设及结论!$L$27*InstalledCapacity*假设及结论!$E$18*(1+CPI)^(AB5-1),假设及结论!$F$27*InstalledCapacity*假设及结论!$E$18*(1+CPI)^(AB5-1))))))</f>
        <v>768.208526001477</v>
      </c>
      <c r="AC8" s="703">
        <f>IF(假设及结论!$D$24=1,IF(AC6=0,0,IF(AC5&gt;ConstructPeriod+假设及结论!$C$24,IF(假设及结论!$B$24=1,假设及结论!$M$24*InstalledCapacity*(1+CPI)^(AC5-1),假设及结论!$G$24*InstalledCapacity*(1+CPI)^(AC5-1)),IF(假设及结论!$B$24=1,假设及结论!$L$24*InstalledCapacity*(1+CPI)^(AC5-1),假设及结论!$F$24*InstalledCapacity*(1+CPI)^(AC5-1)))),IF(假设及结论!$D$24=2,0,IF(AC6=0,0,IF(AC5&gt;ConstructPeriod+假设及结论!$C$24,IF(假设及结论!$B$24=1,假设及结论!$M$27*InstalledCapacity*假设及结论!$E$18*(1+CPI)^(AC5-1),假设及结论!$G$27*InstalledCapacity*假设及结论!$E$18*(1+CPI)^(AC5-1)),IF(假设及结论!$B$24=1,假设及结论!$L$27*InstalledCapacity*假设及结论!$E$18*(1+CPI)^(AC5-1),假设及结论!$F$27*InstalledCapacity*假设及结论!$E$18*(1+CPI)^(AC5-1))))))</f>
        <v>768.976734527479</v>
      </c>
      <c r="AD8" s="703">
        <f>IF(假设及结论!$D$24=1,IF(AD6=0,0,IF(AD5&gt;ConstructPeriod+假设及结论!$C$24,IF(假设及结论!$B$24=1,假设及结论!$M$24*InstalledCapacity*(1+CPI)^(AD5-1),假设及结论!$G$24*InstalledCapacity*(1+CPI)^(AD5-1)),IF(假设及结论!$B$24=1,假设及结论!$L$24*InstalledCapacity*(1+CPI)^(AD5-1),假设及结论!$F$24*InstalledCapacity*(1+CPI)^(AD5-1)))),IF(假设及结论!$D$24=2,0,IF(AD6=0,0,IF(AD5&gt;ConstructPeriod+假设及结论!$C$24,IF(假设及结论!$B$24=1,假设及结论!$M$27*InstalledCapacity*假设及结论!$E$18*(1+CPI)^(AD5-1),假设及结论!$G$27*InstalledCapacity*假设及结论!$E$18*(1+CPI)^(AD5-1)),IF(假设及结论!$B$24=1,假设及结论!$L$27*InstalledCapacity*假设及结论!$E$18*(1+CPI)^(AD5-1),假设及结论!$F$27*InstalledCapacity*假设及结论!$E$18*(1+CPI)^(AD5-1))))))</f>
        <v>0</v>
      </c>
      <c r="AE8" s="704"/>
      <c r="AF8" s="704"/>
      <c r="AG8" s="704"/>
      <c r="AH8" s="704"/>
      <c r="AI8" s="704"/>
      <c r="AJ8" s="704"/>
      <c r="AK8" s="704"/>
      <c r="AL8" s="704"/>
      <c r="AM8" s="704"/>
      <c r="AN8" s="704"/>
      <c r="AO8" s="704"/>
      <c r="AP8" s="704"/>
      <c r="AQ8" s="704"/>
      <c r="AR8" s="704"/>
      <c r="AS8" s="704"/>
      <c r="AT8" s="704"/>
      <c r="AU8" s="704"/>
      <c r="AV8" s="704"/>
      <c r="AW8" s="704"/>
      <c r="AX8" s="704"/>
      <c r="AY8" s="704"/>
      <c r="AZ8" s="704"/>
      <c r="BA8" s="704"/>
      <c r="BB8" s="704"/>
    </row>
    <row r="9" spans="1:54">
      <c r="A9" s="700">
        <v>4</v>
      </c>
      <c r="B9" s="705" t="s">
        <v>838</v>
      </c>
      <c r="C9" s="702">
        <f t="shared" si="0"/>
        <v>19983.551785841</v>
      </c>
      <c r="D9" s="703">
        <f>IF(D6=0,0,(资金筹措!$C$7+资金筹措!$C$8-销售收入!$C$38)*假设及结论!$L$33)</f>
        <v>0</v>
      </c>
      <c r="E9" s="703">
        <f>IF(E6=0,0,IF(假设及结论!$M$30=1,(资金筹措!$F$7+资金筹措!$F$8-销售收入!$C$38)*假设及结论!$L$33,(资金筹措!$F$7+资金筹措!$F$8-销售收入!$C$38)*E32))</f>
        <v>266.447357144546</v>
      </c>
      <c r="F9" s="703">
        <f>IF(F6=0,0,IF(假设及结论!$M$30=1,(资金筹措!$F$7+资金筹措!$F$8-销售收入!$C$38)*假设及结论!$L$33,(资金筹措!$F$7+资金筹措!$F$8-销售收入!$C$38)*F32))</f>
        <v>266.447357144546</v>
      </c>
      <c r="G9" s="703">
        <f>IF(G6=0,0,IF(假设及结论!$M$30=1,(资金筹措!$F$7+资金筹措!$F$8-销售收入!$C$38)*假设及结论!$L$33,(资金筹措!$F$7+资金筹措!$F$8-销售收入!$C$38)*G32))</f>
        <v>266.447357144546</v>
      </c>
      <c r="H9" s="703">
        <f>IF(H6=0,0,IF(假设及结论!$M$30=1,(资金筹措!$F$7+资金筹措!$F$8-销售收入!$C$38)*假设及结论!$L$33,(资金筹措!$F$7+资金筹措!$F$8-销售收入!$C$38)*H32))</f>
        <v>266.447357144546</v>
      </c>
      <c r="I9" s="703">
        <f>IF(I6=0,0,IF(假设及结论!$M$30=1,(资金筹措!$F$7+资金筹措!$F$8-销售收入!$C$38)*假设及结论!$L$33,(资金筹措!$F$7+资金筹措!$F$8-销售收入!$C$38)*I32))</f>
        <v>266.447357144546</v>
      </c>
      <c r="J9" s="703">
        <f>IF(J6=0,0,IF(假设及结论!$M$30=1,(资金筹措!$F$7+资金筹措!$F$8-销售收入!$C$38)*假设及结论!$L$33,(资金筹措!$F$7+资金筹措!$F$8-销售收入!$C$38)*J32))</f>
        <v>532.894714289093</v>
      </c>
      <c r="K9" s="703">
        <f>IF(K6=0,0,IF(假设及结论!$M$30=1,(资金筹措!$F$7+资金筹措!$F$8-销售收入!$C$38)*假设及结论!$L$33,(资金筹措!$F$7+资金筹措!$F$8-销售收入!$C$38)*K32))</f>
        <v>532.894714289093</v>
      </c>
      <c r="L9" s="703">
        <f>IF(L6=0,0,IF(假设及结论!$M$30=1,(资金筹措!$F$7+资金筹措!$F$8-销售收入!$C$38)*假设及结论!$L$33,(资金筹措!$F$7+资金筹措!$F$8-销售收入!$C$38)*L32))</f>
        <v>532.894714289093</v>
      </c>
      <c r="M9" s="703">
        <f>IF(M6=0,0,IF(假设及结论!$M$30=1,(资金筹措!$F$7+资金筹措!$F$8-销售收入!$C$38)*假设及结论!$L$33,(资金筹措!$F$7+资金筹措!$F$8-销售收入!$C$38)*M32))</f>
        <v>532.894714289093</v>
      </c>
      <c r="N9" s="703">
        <f>IF(N6=0,0,IF(假设及结论!$M$30=1,(资金筹措!$F$7+资金筹措!$F$8-销售收入!$C$38)*假设及结论!$L$33,(资金筹措!$F$7+资金筹措!$F$8-销售收入!$C$38)*N32))</f>
        <v>532.894714289093</v>
      </c>
      <c r="O9" s="703">
        <f>IF(O6=0,0,IF(假设及结论!$M$30=1,(资金筹措!$F$7+资金筹措!$F$8-销售收入!$C$38)*假设及结论!$L$33,(资金筹措!$F$7+资金筹措!$F$8-销售收入!$C$38)*O32))</f>
        <v>799.342071433639</v>
      </c>
      <c r="P9" s="703">
        <f>IF(P6=0,0,IF(假设及结论!$M$30=1,(资金筹措!$F$7+资金筹措!$F$8-销售收入!$C$38)*假设及结论!$L$33,(资金筹措!$F$7+资金筹措!$F$8-销售收入!$C$38)*P32))</f>
        <v>799.342071433639</v>
      </c>
      <c r="Q9" s="703">
        <f>IF(Q6=0,0,IF(假设及结论!$M$30=1,(资金筹措!$F$7+资金筹措!$F$8-销售收入!$C$38)*假设及结论!$L$33,(资金筹措!$F$7+资金筹措!$F$8-销售收入!$C$38)*Q32))</f>
        <v>799.342071433639</v>
      </c>
      <c r="R9" s="703">
        <f>IF(R6=0,0,IF(假设及结论!$M$30=1,(资金筹措!$F$7+资金筹措!$F$8-销售收入!$C$38)*假设及结论!$L$33,(资金筹措!$F$7+资金筹措!$F$8-销售收入!$C$38)*R32))</f>
        <v>799.342071433639</v>
      </c>
      <c r="S9" s="703">
        <f>IF(S6=0,0,IF(假设及结论!$M$30=1,(资金筹措!$F$7+资金筹措!$F$8-销售收入!$C$38)*假设及结论!$L$33,(资金筹措!$F$7+资金筹措!$F$8-销售收入!$C$38)*S32))</f>
        <v>799.342071433639</v>
      </c>
      <c r="T9" s="703">
        <f>IF(T6=0,0,IF(假设及结论!$M$30=1,(资金筹措!$F$7+资金筹措!$F$8-销售收入!$C$38)*假设及结论!$L$33,(资金筹措!$F$7+资金筹措!$F$8-销售收入!$C$38)*T32))</f>
        <v>1065.78942857819</v>
      </c>
      <c r="U9" s="703">
        <f>IF(U6=0,0,IF(假设及结论!$M$30=1,(资金筹措!$F$7+资金筹措!$F$8-销售收入!$C$38)*假设及结论!$L$33,(资金筹措!$F$7+资金筹措!$F$8-销售收入!$C$38)*U32))</f>
        <v>1065.78942857819</v>
      </c>
      <c r="V9" s="703">
        <f>IF(V6=0,0,IF(假设及结论!$M$30=1,(资金筹措!$F$7+资金筹措!$F$8-销售收入!$C$38)*假设及结论!$L$33,(资金筹措!$F$7+资金筹措!$F$8-销售收入!$C$38)*V32))</f>
        <v>1065.78942857819</v>
      </c>
      <c r="W9" s="703">
        <f>IF(W6=0,0,IF(假设及结论!$M$30=1,(资金筹措!$F$7+资金筹措!$F$8-销售收入!$C$38)*假设及结论!$L$33,(资金筹措!$F$7+资金筹措!$F$8-销售收入!$C$38)*W32))</f>
        <v>1065.78942857819</v>
      </c>
      <c r="X9" s="703">
        <f>IF(X6=0,0,IF(假设及结论!$M$30=1,(资金筹措!$F$7+资金筹措!$F$8-销售收入!$C$38)*假设及结论!$L$33,(资金筹措!$F$7+资金筹措!$F$8-销售收入!$C$38)*X32))</f>
        <v>1065.78942857819</v>
      </c>
      <c r="Y9" s="703">
        <f>IF(Y6=0,0,IF(假设及结论!$M$30=1,(资金筹措!$F$7+资金筹措!$F$8-销售收入!$C$38)*假设及结论!$L$33,(资金筹措!$F$7+资金筹措!$F$8-销售收入!$C$38)*Y32))</f>
        <v>1332.23678572273</v>
      </c>
      <c r="Z9" s="703">
        <f>IF(Z6=0,0,IF(假设及结论!$M$30=1,(资金筹措!$F$7+资金筹措!$F$8-销售收入!$C$38)*假设及结论!$L$33,(资金筹措!$F$7+资金筹措!$F$8-销售收入!$C$38)*Z32))</f>
        <v>1332.23678572273</v>
      </c>
      <c r="AA9" s="703">
        <f>IF(AA6=0,0,IF(假设及结论!$M$30=1,(资金筹措!$F$7+资金筹措!$F$8-销售收入!$C$38)*假设及结论!$L$33,(资金筹措!$F$7+资金筹措!$F$8-销售收入!$C$38)*AA32))</f>
        <v>1332.23678572273</v>
      </c>
      <c r="AB9" s="703">
        <f>IF(AB6=0,0,IF(假设及结论!$M$30=1,(资金筹措!$F$7+资金筹措!$F$8-销售收入!$C$38)*假设及结论!$L$33,(资金筹措!$F$7+资金筹措!$F$8-销售收入!$C$38)*AB32))</f>
        <v>1332.23678572273</v>
      </c>
      <c r="AC9" s="703">
        <f>IF(AC6=0,0,IF(假设及结论!$M$30=1,(资金筹措!$F$7+资金筹措!$F$8-销售收入!$C$38)*假设及结论!$L$33,(资金筹措!$F$7+资金筹措!$F$8-销售收入!$C$38)*AC32))</f>
        <v>1332.23678572273</v>
      </c>
      <c r="AD9" s="703">
        <f>IF(AD6=0,0,IF(假设及结论!$M$30=1,(资金筹措!$F$7+资金筹措!$F$8-销售收入!$C$38)*假设及结论!$L$33,(资金筹措!$F$7+资金筹措!$F$8-销售收入!$C$38)*AD32))</f>
        <v>0</v>
      </c>
      <c r="AE9" s="704"/>
      <c r="AF9" s="704"/>
      <c r="AG9" s="704"/>
      <c r="AH9" s="704"/>
      <c r="AI9" s="704"/>
      <c r="AJ9" s="704"/>
      <c r="AK9" s="704"/>
      <c r="AL9" s="704"/>
      <c r="AM9" s="704"/>
      <c r="AN9" s="704"/>
      <c r="AO9" s="704"/>
      <c r="AP9" s="704"/>
      <c r="AQ9" s="704"/>
      <c r="AR9" s="704"/>
      <c r="AS9" s="704"/>
      <c r="AT9" s="704"/>
      <c r="AU9" s="704"/>
      <c r="AV9" s="704"/>
      <c r="AW9" s="704"/>
      <c r="AX9" s="704"/>
      <c r="AY9" s="704"/>
      <c r="AZ9" s="704"/>
      <c r="BA9" s="704"/>
      <c r="BB9" s="704"/>
    </row>
    <row r="10" spans="1:54">
      <c r="A10" s="700">
        <v>5</v>
      </c>
      <c r="B10" s="705" t="s">
        <v>839</v>
      </c>
      <c r="C10" s="702">
        <f t="shared" si="0"/>
        <v>4038.3252</v>
      </c>
      <c r="D10" s="703"/>
      <c r="E10" s="703">
        <f>假设及结论!$G$21*假设及结论!$H$21*假设及结论!$I$21/10000</f>
        <v>155.3202</v>
      </c>
      <c r="F10" s="703">
        <f t="shared" ref="F10:AD10" si="1">E10</f>
        <v>155.3202</v>
      </c>
      <c r="G10" s="703">
        <f t="shared" si="1"/>
        <v>155.3202</v>
      </c>
      <c r="H10" s="703">
        <f t="shared" si="1"/>
        <v>155.3202</v>
      </c>
      <c r="I10" s="703">
        <f t="shared" si="1"/>
        <v>155.3202</v>
      </c>
      <c r="J10" s="703">
        <f t="shared" si="1"/>
        <v>155.3202</v>
      </c>
      <c r="K10" s="703">
        <f t="shared" si="1"/>
        <v>155.3202</v>
      </c>
      <c r="L10" s="703">
        <f t="shared" si="1"/>
        <v>155.3202</v>
      </c>
      <c r="M10" s="703">
        <f t="shared" si="1"/>
        <v>155.3202</v>
      </c>
      <c r="N10" s="703">
        <f t="shared" si="1"/>
        <v>155.3202</v>
      </c>
      <c r="O10" s="703">
        <f t="shared" si="1"/>
        <v>155.3202</v>
      </c>
      <c r="P10" s="703">
        <f t="shared" si="1"/>
        <v>155.3202</v>
      </c>
      <c r="Q10" s="703">
        <f t="shared" si="1"/>
        <v>155.3202</v>
      </c>
      <c r="R10" s="703">
        <f t="shared" si="1"/>
        <v>155.3202</v>
      </c>
      <c r="S10" s="703">
        <f t="shared" si="1"/>
        <v>155.3202</v>
      </c>
      <c r="T10" s="703">
        <f t="shared" si="1"/>
        <v>155.3202</v>
      </c>
      <c r="U10" s="703">
        <f t="shared" si="1"/>
        <v>155.3202</v>
      </c>
      <c r="V10" s="703">
        <f t="shared" si="1"/>
        <v>155.3202</v>
      </c>
      <c r="W10" s="703">
        <f t="shared" si="1"/>
        <v>155.3202</v>
      </c>
      <c r="X10" s="703">
        <f t="shared" si="1"/>
        <v>155.3202</v>
      </c>
      <c r="Y10" s="703">
        <f t="shared" si="1"/>
        <v>155.3202</v>
      </c>
      <c r="Z10" s="703">
        <f t="shared" si="1"/>
        <v>155.3202</v>
      </c>
      <c r="AA10" s="703">
        <f t="shared" si="1"/>
        <v>155.3202</v>
      </c>
      <c r="AB10" s="703">
        <f t="shared" si="1"/>
        <v>155.3202</v>
      </c>
      <c r="AC10" s="703">
        <f t="shared" si="1"/>
        <v>155.3202</v>
      </c>
      <c r="AD10" s="703">
        <f t="shared" si="1"/>
        <v>155.3202</v>
      </c>
      <c r="AE10" s="704"/>
      <c r="AF10" s="704"/>
      <c r="AG10" s="704"/>
      <c r="AH10" s="704"/>
      <c r="AI10" s="704"/>
      <c r="AJ10" s="704"/>
      <c r="AK10" s="704"/>
      <c r="AL10" s="704"/>
      <c r="AM10" s="704"/>
      <c r="AN10" s="704"/>
      <c r="AO10" s="704"/>
      <c r="AP10" s="704"/>
      <c r="AQ10" s="704"/>
      <c r="AR10" s="704"/>
      <c r="AS10" s="704"/>
      <c r="AT10" s="704"/>
      <c r="AU10" s="704"/>
      <c r="AV10" s="704"/>
      <c r="AW10" s="704"/>
      <c r="AX10" s="704"/>
      <c r="AY10" s="704"/>
      <c r="AZ10" s="704"/>
      <c r="BA10" s="704"/>
      <c r="BB10" s="704"/>
    </row>
    <row r="11" spans="1:54">
      <c r="A11" s="700">
        <v>6</v>
      </c>
      <c r="B11" s="705" t="s">
        <v>840</v>
      </c>
      <c r="C11" s="702">
        <f t="shared" si="0"/>
        <v>0</v>
      </c>
      <c r="D11" s="703"/>
      <c r="E11" s="703">
        <f>假设及结论!$G$21*假设及结论!$L$21*假设及结论!$M$21</f>
        <v>0</v>
      </c>
      <c r="F11" s="703">
        <f>假设及结论!$G$21*假设及结论!$L$21*假设及结论!$M$21</f>
        <v>0</v>
      </c>
      <c r="G11" s="703">
        <f>假设及结论!$G$21*假设及结论!$L$21*假设及结论!$M$21</f>
        <v>0</v>
      </c>
      <c r="H11" s="703">
        <f>假设及结论!$G$21*假设及结论!$L$21*假设及结论!$M$21</f>
        <v>0</v>
      </c>
      <c r="I11" s="703">
        <f>假设及结论!$G$21*假设及结论!$L$21*假设及结论!$M$21</f>
        <v>0</v>
      </c>
      <c r="J11" s="703">
        <f>假设及结论!$G$21*假设及结论!$L$21*假设及结论!$M$21</f>
        <v>0</v>
      </c>
      <c r="K11" s="703">
        <f>假设及结论!$G$21*假设及结论!$L$21*假设及结论!$M$21</f>
        <v>0</v>
      </c>
      <c r="L11" s="703">
        <f>假设及结论!$G$21*假设及结论!$L$21*假设及结论!$M$21</f>
        <v>0</v>
      </c>
      <c r="M11" s="703">
        <f>假设及结论!$G$21*假设及结论!$L$21*假设及结论!$M$21</f>
        <v>0</v>
      </c>
      <c r="N11" s="703">
        <f>假设及结论!$G$21*假设及结论!$L$21*假设及结论!$M$21</f>
        <v>0</v>
      </c>
      <c r="O11" s="703">
        <f>假设及结论!$G$21*假设及结论!$L$21*假设及结论!$M$21</f>
        <v>0</v>
      </c>
      <c r="P11" s="703">
        <f>假设及结论!$G$21*假设及结论!$L$21*假设及结论!$M$21</f>
        <v>0</v>
      </c>
      <c r="Q11" s="703">
        <f>假设及结论!$G$21*假设及结论!$L$21*假设及结论!$M$21</f>
        <v>0</v>
      </c>
      <c r="R11" s="703">
        <f>假设及结论!$G$21*假设及结论!$L$21*假设及结论!$M$21</f>
        <v>0</v>
      </c>
      <c r="S11" s="703">
        <f>假设及结论!$G$21*假设及结论!$L$21*假设及结论!$M$21</f>
        <v>0</v>
      </c>
      <c r="T11" s="703">
        <f>假设及结论!$G$21*假设及结论!$L$21*假设及结论!$M$21</f>
        <v>0</v>
      </c>
      <c r="U11" s="703">
        <f>假设及结论!$G$21*假设及结论!$L$21*假设及结论!$M$21</f>
        <v>0</v>
      </c>
      <c r="V11" s="703">
        <f>假设及结论!$G$21*假设及结论!$L$21*假设及结论!$M$21</f>
        <v>0</v>
      </c>
      <c r="W11" s="703">
        <f>假设及结论!$G$21*假设及结论!$L$21*假设及结论!$M$21</f>
        <v>0</v>
      </c>
      <c r="X11" s="703">
        <f>假设及结论!$G$21*假设及结论!$L$21*假设及结论!$M$21</f>
        <v>0</v>
      </c>
      <c r="Y11" s="703">
        <f>假设及结论!$G$21*假设及结论!$L$21*假设及结论!$M$21</f>
        <v>0</v>
      </c>
      <c r="Z11" s="703">
        <f>假设及结论!$G$21*假设及结论!$L$21*假设及结论!$M$21</f>
        <v>0</v>
      </c>
      <c r="AA11" s="703">
        <f>假设及结论!$G$21*假设及结论!$L$21*假设及结论!$M$21</f>
        <v>0</v>
      </c>
      <c r="AB11" s="703">
        <f>假设及结论!$G$21*假设及结论!$L$21*假设及结论!$M$21</f>
        <v>0</v>
      </c>
      <c r="AC11" s="703">
        <f>假设及结论!$G$21*假设及结论!$L$21*假设及结论!$M$21</f>
        <v>0</v>
      </c>
      <c r="AD11" s="703">
        <f>假设及结论!$G$21*假设及结论!$L$21*假设及结论!$M$21</f>
        <v>0</v>
      </c>
      <c r="AE11" s="704"/>
      <c r="AF11" s="704"/>
      <c r="AG11" s="704"/>
      <c r="AH11" s="704"/>
      <c r="AI11" s="704"/>
      <c r="AJ11" s="704"/>
      <c r="AK11" s="704"/>
      <c r="AL11" s="704"/>
      <c r="AM11" s="704"/>
      <c r="AN11" s="704"/>
      <c r="AO11" s="704"/>
      <c r="AP11" s="704"/>
      <c r="AQ11" s="704"/>
      <c r="AR11" s="704"/>
      <c r="AS11" s="704"/>
      <c r="AT11" s="704"/>
      <c r="AU11" s="704"/>
      <c r="AV11" s="704"/>
      <c r="AW11" s="704"/>
      <c r="AX11" s="704"/>
      <c r="AY11" s="704"/>
      <c r="AZ11" s="704"/>
      <c r="BA11" s="704"/>
      <c r="BB11" s="704"/>
    </row>
    <row r="12" spans="1:54">
      <c r="A12" s="700">
        <v>7</v>
      </c>
      <c r="B12" s="705" t="s">
        <v>841</v>
      </c>
      <c r="C12" s="702"/>
      <c r="D12" s="703"/>
      <c r="E12" s="703"/>
      <c r="F12" s="703"/>
      <c r="G12" s="703"/>
      <c r="H12" s="703"/>
      <c r="I12" s="703"/>
      <c r="J12" s="703"/>
      <c r="K12" s="703"/>
      <c r="L12" s="703"/>
      <c r="M12" s="703"/>
      <c r="N12" s="703"/>
      <c r="O12" s="703"/>
      <c r="P12" s="703"/>
      <c r="Q12" s="703"/>
      <c r="R12" s="703"/>
      <c r="S12" s="703"/>
      <c r="T12" s="703"/>
      <c r="U12" s="703"/>
      <c r="V12" s="703"/>
      <c r="W12" s="703"/>
      <c r="X12" s="703"/>
      <c r="Y12" s="703"/>
      <c r="Z12" s="703"/>
      <c r="AA12" s="703"/>
      <c r="AB12" s="703"/>
      <c r="AC12" s="703"/>
      <c r="AD12" s="703"/>
      <c r="AE12" s="704"/>
      <c r="AF12" s="704"/>
      <c r="AG12" s="704"/>
      <c r="AH12" s="704"/>
      <c r="AI12" s="704"/>
      <c r="AJ12" s="704"/>
      <c r="AK12" s="704"/>
      <c r="AL12" s="704"/>
      <c r="AM12" s="704"/>
      <c r="AN12" s="704"/>
      <c r="AO12" s="704"/>
      <c r="AP12" s="704"/>
      <c r="AQ12" s="704"/>
      <c r="AR12" s="704"/>
      <c r="AS12" s="704"/>
      <c r="AT12" s="704"/>
      <c r="AU12" s="704"/>
      <c r="AV12" s="704"/>
      <c r="AW12" s="704"/>
      <c r="AX12" s="704"/>
      <c r="AY12" s="704"/>
      <c r="AZ12" s="704"/>
      <c r="BA12" s="704"/>
      <c r="BB12" s="704"/>
    </row>
    <row r="13" spans="1:54">
      <c r="A13" s="700">
        <v>8</v>
      </c>
      <c r="B13" s="705" t="s">
        <v>842</v>
      </c>
      <c r="C13" s="702"/>
      <c r="D13" s="703"/>
      <c r="E13" s="706">
        <f>IF(E5-ConstructPeriod=OperationPeriod,假设及结论!$O$33*资金筹措!$F$7,0)</f>
        <v>0</v>
      </c>
      <c r="F13" s="706">
        <f>IF(F5-ConstructPeriod=OperationPeriod,假设及结论!$O$33*资金筹措!$F$7,0)</f>
        <v>0</v>
      </c>
      <c r="G13" s="706">
        <f>IF(G5-ConstructPeriod=OperationPeriod,假设及结论!$O$33*资金筹措!$F$7,0)</f>
        <v>0</v>
      </c>
      <c r="H13" s="706">
        <f>IF(H5-ConstructPeriod=OperationPeriod,假设及结论!$O$33*资金筹措!$F$7,0)</f>
        <v>0</v>
      </c>
      <c r="I13" s="706">
        <f>IF(I5-ConstructPeriod=OperationPeriod,假设及结论!$O$33*资金筹措!$F$7,0)</f>
        <v>0</v>
      </c>
      <c r="J13" s="706">
        <f>IF(J5-ConstructPeriod=OperationPeriod,假设及结论!$O$33*资金筹措!$F$7,0)</f>
        <v>0</v>
      </c>
      <c r="K13" s="706">
        <f>IF(K5-ConstructPeriod=OperationPeriod,假设及结论!$O$33*资金筹措!$F$7,0)</f>
        <v>0</v>
      </c>
      <c r="L13" s="706">
        <f>IF(L5-ConstructPeriod=OperationPeriod,假设及结论!$O$33*资金筹措!$F$7,0)</f>
        <v>0</v>
      </c>
      <c r="M13" s="706">
        <f>IF(M5-ConstructPeriod=OperationPeriod,假设及结论!$O$33*资金筹措!$F$7,0)</f>
        <v>0</v>
      </c>
      <c r="N13" s="706">
        <f>IF(N5-ConstructPeriod=OperationPeriod,假设及结论!$O$33*资金筹措!$F$7,0)</f>
        <v>0</v>
      </c>
      <c r="O13" s="706">
        <f>IF(O5-ConstructPeriod=OperationPeriod,假设及结论!$O$33*资金筹措!$F$7,0)</f>
        <v>0</v>
      </c>
      <c r="P13" s="706">
        <f>IF(P5-ConstructPeriod=OperationPeriod,假设及结论!$O$33*资金筹措!$F$7,0)</f>
        <v>0</v>
      </c>
      <c r="Q13" s="706">
        <f>IF(Q5-ConstructPeriod=OperationPeriod,假设及结论!$O$33*资金筹措!$F$7,0)</f>
        <v>0</v>
      </c>
      <c r="R13" s="706">
        <f>IF(R5-ConstructPeriod=OperationPeriod,假设及结论!$O$33*资金筹措!$F$7,0)</f>
        <v>0</v>
      </c>
      <c r="S13" s="706">
        <f>IF(S5-ConstructPeriod=OperationPeriod,假设及结论!$O$33*资金筹措!$F$7,0)</f>
        <v>0</v>
      </c>
      <c r="T13" s="706">
        <f>IF(T5-ConstructPeriod=OperationPeriod,假设及结论!$O$33*资金筹措!$F$7,0)</f>
        <v>0</v>
      </c>
      <c r="U13" s="706">
        <f>IF(U5-ConstructPeriod=OperationPeriod,假设及结论!$O$33*资金筹措!$F$7,0)</f>
        <v>0</v>
      </c>
      <c r="V13" s="706">
        <f>IF(V5-ConstructPeriod=OperationPeriod,假设及结论!$O$33*资金筹措!$F$7,0)</f>
        <v>0</v>
      </c>
      <c r="W13" s="706">
        <f>IF(W5-ConstructPeriod=OperationPeriod,假设及结论!$O$33*资金筹措!$F$7,0)</f>
        <v>0</v>
      </c>
      <c r="X13" s="706">
        <f>IF(X5-ConstructPeriod=OperationPeriod,假设及结论!$O$33*资金筹措!$F$7,0)</f>
        <v>0</v>
      </c>
      <c r="Y13" s="706">
        <f>IF(Y5-ConstructPeriod=OperationPeriod,假设及结论!$O$33*资金筹措!$F$7,0)</f>
        <v>0</v>
      </c>
      <c r="Z13" s="706">
        <f>IF(Z5-ConstructPeriod=OperationPeriod,假设及结论!$O$33*资金筹措!$F$7,0)</f>
        <v>0</v>
      </c>
      <c r="AA13" s="706">
        <f>IF(AA5-ConstructPeriod=OperationPeriod,假设及结论!$O$33*资金筹措!$F$7,0)</f>
        <v>0</v>
      </c>
      <c r="AB13" s="706">
        <f>IF(AB5-ConstructPeriod=OperationPeriod,假设及结论!$O$33*资金筹措!$F$7,0)</f>
        <v>0</v>
      </c>
      <c r="AC13" s="706">
        <f>IF(AC5-ConstructPeriod=OperationPeriod,假设及结论!$O$33*资金筹措!$F$7,0)</f>
        <v>0</v>
      </c>
      <c r="AD13" s="706">
        <f>IF(AD5-ConstructPeriod=OperationPeriod,假设及结论!$O$33*资金筹措!$F$7,0)</f>
        <v>0</v>
      </c>
      <c r="AE13" s="704"/>
      <c r="AF13" s="704"/>
      <c r="AG13" s="704"/>
      <c r="AH13" s="704"/>
      <c r="AI13" s="704"/>
      <c r="AJ13" s="704"/>
      <c r="AK13" s="704"/>
      <c r="AL13" s="704"/>
      <c r="AM13" s="704"/>
      <c r="AN13" s="704"/>
      <c r="AO13" s="704"/>
      <c r="AP13" s="704"/>
      <c r="AQ13" s="704"/>
      <c r="AR13" s="704"/>
      <c r="AS13" s="704"/>
      <c r="AT13" s="704"/>
      <c r="AU13" s="704"/>
      <c r="AV13" s="704"/>
      <c r="AW13" s="704"/>
      <c r="AX13" s="704"/>
      <c r="AY13" s="704"/>
      <c r="AZ13" s="704"/>
      <c r="BA13" s="704"/>
      <c r="BB13" s="704"/>
    </row>
    <row r="14" s="679" customFormat="1" spans="1:54">
      <c r="A14" s="700">
        <v>9</v>
      </c>
      <c r="B14" s="707" t="s">
        <v>843</v>
      </c>
      <c r="C14" s="708"/>
      <c r="D14" s="709"/>
      <c r="E14" s="709">
        <f>IF(type=1,0,IF(E5-ConstructPeriod&gt;0,IF(E5-ConstructPeriod&gt;OperationPeriod,0,假设及结论!$N$33),0))</f>
        <v>0</v>
      </c>
      <c r="F14" s="709">
        <f>IF(type=1,0,IF(F5-ConstructPeriod&gt;0,IF(F5-ConstructPeriod&gt;OperationPeriod,0,假设及结论!$N$33),0))</f>
        <v>0</v>
      </c>
      <c r="G14" s="709">
        <f>IF(type=1,0,IF(G5-ConstructPeriod&gt;0,IF(G5-ConstructPeriod&gt;OperationPeriod,0,假设及结论!$N$33),0))</f>
        <v>0</v>
      </c>
      <c r="H14" s="709">
        <f>IF(type=1,0,IF(H5-ConstructPeriod&gt;0,IF(H5-ConstructPeriod&gt;OperationPeriod,0,假设及结论!$N$33),0))</f>
        <v>0</v>
      </c>
      <c r="I14" s="709">
        <f>IF(type=1,0,IF(I5-ConstructPeriod&gt;0,IF(I5-ConstructPeriod&gt;OperationPeriod,0,假设及结论!$N$33),0))</f>
        <v>0</v>
      </c>
      <c r="J14" s="709">
        <f>IF(type=1,0,IF(J5-ConstructPeriod&gt;0,IF(J5-ConstructPeriod&gt;OperationPeriod,0,假设及结论!$N$33),0))</f>
        <v>0</v>
      </c>
      <c r="K14" s="709">
        <f>IF(type=1,0,IF(K5-ConstructPeriod&gt;0,IF(K5-ConstructPeriod&gt;OperationPeriod,0,假设及结论!$N$33),0))</f>
        <v>0</v>
      </c>
      <c r="L14" s="709">
        <f>IF(type=1,0,IF(L5-ConstructPeriod&gt;0,IF(L5-ConstructPeriod&gt;OperationPeriod,0,假设及结论!$N$33),0))</f>
        <v>0</v>
      </c>
      <c r="M14" s="709">
        <f>IF(type=1,0,IF(M5-ConstructPeriod&gt;0,IF(M5-ConstructPeriod&gt;OperationPeriod,0,假设及结论!$N$33),0))</f>
        <v>0</v>
      </c>
      <c r="N14" s="709">
        <f>IF(type=1,0,IF(N5-ConstructPeriod&gt;0,IF(N5-ConstructPeriod&gt;OperationPeriod,0,假设及结论!$N$33),0))</f>
        <v>0</v>
      </c>
      <c r="O14" s="709">
        <f>IF(type=1,0,IF(O5-ConstructPeriod&gt;0,IF(O5-ConstructPeriod&gt;OperationPeriod,0,假设及结论!$N$33),0))</f>
        <v>0</v>
      </c>
      <c r="P14" s="709">
        <f>IF(type=1,0,IF(P5-ConstructPeriod&gt;0,IF(P5-ConstructPeriod&gt;OperationPeriod,0,假设及结论!$N$33),0))</f>
        <v>0</v>
      </c>
      <c r="Q14" s="709">
        <f>IF(type=1,0,IF(Q5-ConstructPeriod&gt;0,IF(Q5-ConstructPeriod&gt;OperationPeriod,0,假设及结论!$N$33),0))</f>
        <v>0</v>
      </c>
      <c r="R14" s="709">
        <f>IF(type=1,0,IF(R5-ConstructPeriod&gt;0,IF(R5-ConstructPeriod&gt;OperationPeriod,0,假设及结论!$N$33),0))</f>
        <v>0</v>
      </c>
      <c r="S14" s="709">
        <f>IF(type=1,0,IF(S5-ConstructPeriod&gt;0,IF(S5-ConstructPeriod&gt;OperationPeriod,0,假设及结论!$N$33),0))</f>
        <v>0</v>
      </c>
      <c r="T14" s="709">
        <f>IF(type=1,0,IF(T5-ConstructPeriod&gt;0,IF(T5-ConstructPeriod&gt;OperationPeriod,0,假设及结论!$N$33),0))</f>
        <v>0</v>
      </c>
      <c r="U14" s="709">
        <f>IF(type=1,0,IF(U5-ConstructPeriod&gt;0,IF(U5-ConstructPeriod&gt;OperationPeriod,0,假设及结论!$N$33),0))</f>
        <v>0</v>
      </c>
      <c r="V14" s="709">
        <f>IF(type=1,0,IF(V5-ConstructPeriod&gt;0,IF(V5-ConstructPeriod&gt;OperationPeriod,0,假设及结论!$N$33),0))</f>
        <v>0</v>
      </c>
      <c r="W14" s="709">
        <f>IF(type=1,0,IF(W5-ConstructPeriod&gt;0,IF(W5-ConstructPeriod&gt;OperationPeriod,0,假设及结论!$N$33),0))</f>
        <v>0</v>
      </c>
      <c r="X14" s="709">
        <f>IF(type=1,0,IF(X5-ConstructPeriod&gt;0,IF(X5-ConstructPeriod&gt;OperationPeriod,0,假设及结论!$N$33),0))</f>
        <v>0</v>
      </c>
      <c r="Y14" s="709">
        <f>IF(type=1,0,IF(Y5-ConstructPeriod&gt;0,IF(Y5-ConstructPeriod&gt;OperationPeriod,0,假设及结论!$N$33),0))</f>
        <v>0</v>
      </c>
      <c r="Z14" s="709">
        <f>IF(type=1,0,IF(Z5-ConstructPeriod&gt;0,IF(Z5-ConstructPeriod&gt;OperationPeriod,0,假设及结论!$N$33),0))</f>
        <v>0</v>
      </c>
      <c r="AA14" s="709">
        <f>IF(type=1,0,IF(AA5-ConstructPeriod&gt;0,IF(AA5-ConstructPeriod&gt;OperationPeriod,0,假设及结论!$N$33),0))</f>
        <v>0</v>
      </c>
      <c r="AB14" s="709">
        <f>IF(type=1,0,IF(AB5-ConstructPeriod&gt;0,IF(AB5-ConstructPeriod&gt;OperationPeriod,0,假设及结论!$N$33),0))</f>
        <v>0</v>
      </c>
      <c r="AC14" s="709">
        <f>IF(type=1,0,IF(AC5-ConstructPeriod&gt;0,IF(AC5-ConstructPeriod&gt;OperationPeriod,0,假设及结论!$N$33),0))</f>
        <v>0</v>
      </c>
      <c r="AD14" s="709">
        <f>IF(type=1,0,IF(AD5-ConstructPeriod&gt;0,IF(AD5-ConstructPeriod&gt;OperationPeriod,0,假设及结论!$N$33),0))</f>
        <v>0</v>
      </c>
      <c r="AE14" s="710"/>
      <c r="AF14" s="710"/>
      <c r="AG14" s="710"/>
      <c r="AH14" s="710"/>
      <c r="AI14" s="710"/>
      <c r="AJ14" s="710"/>
      <c r="AK14" s="710"/>
      <c r="AL14" s="710"/>
      <c r="AM14" s="710"/>
      <c r="AN14" s="710"/>
      <c r="AO14" s="710"/>
      <c r="AP14" s="710"/>
      <c r="AQ14" s="710"/>
      <c r="AR14" s="710"/>
      <c r="AS14" s="710"/>
      <c r="AT14" s="710"/>
      <c r="AU14" s="710"/>
      <c r="AV14" s="710"/>
      <c r="AW14" s="710"/>
      <c r="AX14" s="710"/>
      <c r="AY14" s="710"/>
      <c r="AZ14" s="710"/>
      <c r="BA14" s="710"/>
      <c r="BB14" s="710"/>
    </row>
    <row r="15" spans="1:54">
      <c r="A15" s="700">
        <v>10</v>
      </c>
      <c r="B15" s="705" t="s">
        <v>171</v>
      </c>
      <c r="C15" s="702">
        <f>SUM(E15:AD15)</f>
        <v>16146.3545727069</v>
      </c>
      <c r="D15" s="703">
        <f>IF(假设及结论!$D$24=1,IF(D6=0,0,IF(D5&gt;ConstructPeriod+假设及结论!$C$24,IF(假设及结论!$B$24=1,RIGHT(假设及结论!$Q$24,2)*InstalledCapacity*(1+CPI)^(D5-1),RIGHT(假设及结论!$K$24,2)*InstalledCapacity*(1+CPI)^(D5-1)),IF(假设及结论!$B$24=1,LEFT(假设及结论!$Q$24,2)*InstalledCapacity*(1+CPI)^(D5-1),LEFT(假设及结论!$K$24,2)*InstalledCapacity*(1+CPI)^(D5-1)))),IF(假设及结论!$D$24=2,0,IF(D6=0,0,IF(D5&gt;ConstructPeriod+假设及结论!$C$24,IF(假设及结论!$B$24=1,RIGHT(假设及结论!$Q$27,2)*InstalledCapacity*假设及结论!$E$18*(1+CPI)^(D5-1),RIGHT(假设及结论!$K$27,2)*InstalledCapacity*假设及结论!$E$18*(1+CPI)^(D5-1)),IF(假设及结论!$B$24=1,LEFT(假设及结论!$Q$27,2)*InstalledCapacity*假设及结论!$E$18*(1+CPI)^(D5-1),LEFT(假设及结论!$K$27,2)*InstalledCapacity*假设及结论!$E$18*(1+CPI)^(D5-1))))))</f>
        <v>0</v>
      </c>
      <c r="E15" s="703">
        <f>IF(假设及结论!$D$24=1,IF(E6=0,0,IF(E5&gt;ConstructPeriod+假设及结论!$C$24,IF(假设及结论!$B$24=1,假设及结论!$Q$24*InstalledCapacity*(1+CPI)^(E5-1),假设及结论!$K$24*InstalledCapacity*(1+CPI)^(E5-1)),IF(假设及结论!$B$24=1,假设及结论!$P$24*InstalledCapacity*(1+CPI)^(E5-1),假设及结论!$J$24*InstalledCapacity*(1+CPI)^(E5-1)))),IF(假设及结论!$D$24=2,0,IF(E6=0,0,IF(E5&gt;ConstructPeriod+假设及结论!$C$24,IF(假设及结论!$B$24=1,假设及结论!$Q$27*InstalledCapacity*假设及结论!$E$18*(1+CPI)^(E5-1),假设及结论!$K$27*InstalledCapacity*假设及结论!$E$18*(1+CPI)^(E5-1)),IF(假设及结论!$B$24=1,假设及结论!$P$27*InstalledCapacity*假设及结论!$E$18*(1+CPI)^(E5-1),假设及结论!$J$27*InstalledCapacity*假设及结论!$E$18*(1+CPI)^(E5-1))))))</f>
        <v>638.1375</v>
      </c>
      <c r="F15" s="703">
        <f>IF(假设及结论!$D$24=1,IF(F6=0,0,IF(F5&gt;ConstructPeriod+假设及结论!$C$24,IF(假设及结论!$B$24=1,假设及结论!$Q$24*InstalledCapacity*(1+CPI)^(F5-1),假设及结论!$K$24*InstalledCapacity*(1+CPI)^(F5-1)),IF(假设及结论!$B$24=1,假设及结论!$P$24*InstalledCapacity*(1+CPI)^(F5-1),假设及结论!$J$24*InstalledCapacity*(1+CPI)^(F5-1)))),IF(假设及结论!$D$24=2,0,IF(F6=0,0,IF(F5&gt;ConstructPeriod+假设及结论!$C$24,IF(假设及结论!$B$24=1,假设及结论!$Q$27*InstalledCapacity*假设及结论!$E$18*(1+CPI)^(F5-1),假设及结论!$K$27*InstalledCapacity*假设及结论!$E$18*(1+CPI)^(F5-1)),IF(假设及结论!$B$24=1,假设及结论!$P$27*InstalledCapacity*假设及结论!$E$18*(1+CPI)^(F5-1),假设及结论!$J$27*InstalledCapacity*假设及结论!$E$18*(1+CPI)^(F5-1))))))</f>
        <v>638.7756375</v>
      </c>
      <c r="G15" s="703">
        <f>IF(假设及结论!$D$24=1,IF(G6=0,0,IF(G5&gt;ConstructPeriod+假设及结论!$C$24,IF(假设及结论!$B$24=1,假设及结论!$Q$24*InstalledCapacity*(1+CPI)^(G5-1),假设及结论!$K$24*InstalledCapacity*(1+CPI)^(G5-1)),IF(假设及结论!$B$24=1,假设及结论!$P$24*InstalledCapacity*(1+CPI)^(G5-1),假设及结论!$J$24*InstalledCapacity*(1+CPI)^(G5-1)))),IF(假设及结论!$D$24=2,0,IF(G6=0,0,IF(G5&gt;ConstructPeriod+假设及结论!$C$24,IF(假设及结论!$B$24=1,假设及结论!$Q$27*InstalledCapacity*假设及结论!$E$18*(1+CPI)^(G5-1),假设及结论!$K$27*InstalledCapacity*假设及结论!$E$18*(1+CPI)^(G5-1)),IF(假设及结论!$B$24=1,假设及结论!$P$27*InstalledCapacity*假设及结论!$E$18*(1+CPI)^(G5-1),假设及结论!$J$27*InstalledCapacity*假设及结论!$E$18*(1+CPI)^(G5-1))))))</f>
        <v>639.4144131375</v>
      </c>
      <c r="H15" s="703">
        <f>IF(假设及结论!$D$24=1,IF(H6=0,0,IF(H5&gt;ConstructPeriod+假设及结论!$C$24,IF(假设及结论!$B$24=1,假设及结论!$Q$24*InstalledCapacity*(1+CPI)^(H5-1),假设及结论!$K$24*InstalledCapacity*(1+CPI)^(H5-1)),IF(假设及结论!$B$24=1,假设及结论!$P$24*InstalledCapacity*(1+CPI)^(H5-1),假设及结论!$J$24*InstalledCapacity*(1+CPI)^(H5-1)))),IF(假设及结论!$D$24=2,0,IF(H6=0,0,IF(H5&gt;ConstructPeriod+假设及结论!$C$24,IF(假设及结论!$B$24=1,假设及结论!$Q$27*InstalledCapacity*假设及结论!$E$18*(1+CPI)^(H5-1),假设及结论!$K$27*InstalledCapacity*假设及结论!$E$18*(1+CPI)^(H5-1)),IF(假设及结论!$B$24=1,假设及结论!$P$27*InstalledCapacity*假设及结论!$E$18*(1+CPI)^(H5-1),假设及结论!$J$27*InstalledCapacity*假设及结论!$E$18*(1+CPI)^(H5-1))))))</f>
        <v>640.053827550637</v>
      </c>
      <c r="I15" s="703">
        <f>IF(假设及结论!$D$24=1,IF(I6=0,0,IF(I5&gt;ConstructPeriod+假设及结论!$C$24,IF(假设及结论!$B$24=1,假设及结论!$Q$24*InstalledCapacity*(1+CPI)^(I5-1),假设及结论!$K$24*InstalledCapacity*(1+CPI)^(I5-1)),IF(假设及结论!$B$24=1,假设及结论!$P$24*InstalledCapacity*(1+CPI)^(I5-1),假设及结论!$J$24*InstalledCapacity*(1+CPI)^(I5-1)))),IF(假设及结论!$D$24=2,0,IF(I6=0,0,IF(I5&gt;ConstructPeriod+假设及结论!$C$24,IF(假设及结论!$B$24=1,假设及结论!$Q$27*InstalledCapacity*假设及结论!$E$18*(1+CPI)^(I5-1),假设及结论!$K$27*InstalledCapacity*假设及结论!$E$18*(1+CPI)^(I5-1)),IF(假设及结论!$B$24=1,假设及结论!$P$27*InstalledCapacity*假设及结论!$E$18*(1+CPI)^(I5-1),假设及结论!$J$27*InstalledCapacity*假设及结论!$E$18*(1+CPI)^(I5-1))))))</f>
        <v>640.693881378188</v>
      </c>
      <c r="J15" s="703">
        <f>IF(假设及结论!$D$24=1,IF(J6=0,0,IF(J5&gt;ConstructPeriod+假设及结论!$C$24,IF(假设及结论!$B$24=1,假设及结论!$Q$24*InstalledCapacity*(1+CPI)^(J5-1),假设及结论!$K$24*InstalledCapacity*(1+CPI)^(J5-1)),IF(假设及结论!$B$24=1,假设及结论!$P$24*InstalledCapacity*(1+CPI)^(J5-1),假设及结论!$J$24*InstalledCapacity*(1+CPI)^(J5-1)))),IF(假设及结论!$D$24=2,0,IF(J6=0,0,IF(J5&gt;ConstructPeriod+假设及结论!$C$24,IF(假设及结论!$B$24=1,假设及结论!$Q$27*InstalledCapacity*假设及结论!$E$18*(1+CPI)^(J5-1),假设及结论!$K$27*InstalledCapacity*假设及结论!$E$18*(1+CPI)^(J5-1)),IF(假设及结论!$B$24=1,假设及结论!$P$27*InstalledCapacity*假设及结论!$E$18*(1+CPI)^(J5-1),假设及结论!$J$27*InstalledCapacity*假设及结论!$E$18*(1+CPI)^(J5-1))))))</f>
        <v>641.334575259566</v>
      </c>
      <c r="K15" s="703">
        <f>IF(假设及结论!$D$24=1,IF(K6=0,0,IF(K5&gt;ConstructPeriod+假设及结论!$C$24,IF(假设及结论!$B$24=1,假设及结论!$Q$24*InstalledCapacity*(1+CPI)^(K5-1),假设及结论!$K$24*InstalledCapacity*(1+CPI)^(K5-1)),IF(假设及结论!$B$24=1,假设及结论!$P$24*InstalledCapacity*(1+CPI)^(K5-1),假设及结论!$J$24*InstalledCapacity*(1+CPI)^(K5-1)))),IF(假设及结论!$D$24=2,0,IF(K6=0,0,IF(K5&gt;ConstructPeriod+假设及结论!$C$24,IF(假设及结论!$B$24=1,假设及结论!$Q$27*InstalledCapacity*假设及结论!$E$18*(1+CPI)^(K5-1),假设及结论!$K$27*InstalledCapacity*假设及结论!$E$18*(1+CPI)^(K5-1)),IF(假设及结论!$B$24=1,假设及结论!$P$27*InstalledCapacity*假设及结论!$E$18*(1+CPI)^(K5-1),假设及结论!$J$27*InstalledCapacity*假设及结论!$E$18*(1+CPI)^(K5-1))))))</f>
        <v>641.975909834825</v>
      </c>
      <c r="L15" s="703">
        <f>IF(假设及结论!$D$24=1,IF(L6=0,0,IF(L5&gt;ConstructPeriod+假设及结论!$C$24,IF(假设及结论!$B$24=1,假设及结论!$Q$24*InstalledCapacity*(1+CPI)^(L5-1),假设及结论!$K$24*InstalledCapacity*(1+CPI)^(L5-1)),IF(假设及结论!$B$24=1,假设及结论!$P$24*InstalledCapacity*(1+CPI)^(L5-1),假设及结论!$J$24*InstalledCapacity*(1+CPI)^(L5-1)))),IF(假设及结论!$D$24=2,0,IF(L6=0,0,IF(L5&gt;ConstructPeriod+假设及结论!$C$24,IF(假设及结论!$B$24=1,假设及结论!$Q$27*InstalledCapacity*假设及结论!$E$18*(1+CPI)^(L5-1),假设及结论!$K$27*InstalledCapacity*假设及结论!$E$18*(1+CPI)^(L5-1)),IF(假设及结论!$B$24=1,假设及结论!$P$27*InstalledCapacity*假设及结论!$E$18*(1+CPI)^(L5-1),假设及结论!$J$27*InstalledCapacity*假设及结论!$E$18*(1+CPI)^(L5-1))))))</f>
        <v>642.61788574466</v>
      </c>
      <c r="M15" s="703">
        <f>IF(假设及结论!$D$24=1,IF(M6=0,0,IF(M5&gt;ConstructPeriod+假设及结论!$C$24,IF(假设及结论!$B$24=1,假设及结论!$Q$24*InstalledCapacity*(1+CPI)^(M5-1),假设及结论!$K$24*InstalledCapacity*(1+CPI)^(M5-1)),IF(假设及结论!$B$24=1,假设及结论!$P$24*InstalledCapacity*(1+CPI)^(M5-1),假设及结论!$J$24*InstalledCapacity*(1+CPI)^(M5-1)))),IF(假设及结论!$D$24=2,0,IF(M6=0,0,IF(M5&gt;ConstructPeriod+假设及结论!$C$24,IF(假设及结论!$B$24=1,假设及结论!$Q$27*InstalledCapacity*假设及结论!$E$18*(1+CPI)^(M5-1),假设及结论!$K$27*InstalledCapacity*假设及结论!$E$18*(1+CPI)^(M5-1)),IF(假设及结论!$B$24=1,假设及结论!$P$27*InstalledCapacity*假设及结论!$E$18*(1+CPI)^(M5-1),假设及结论!$J$27*InstalledCapacity*假设及结论!$E$18*(1+CPI)^(M5-1))))))</f>
        <v>643.260503630405</v>
      </c>
      <c r="N15" s="703">
        <f>IF(假设及结论!$D$24=1,IF(N6=0,0,IF(N5&gt;ConstructPeriod+假设及结论!$C$24,IF(假设及结论!$B$24=1,假设及结论!$Q$24*InstalledCapacity*(1+CPI)^(N5-1),假设及结论!$K$24*InstalledCapacity*(1+CPI)^(N5-1)),IF(假设及结论!$B$24=1,假设及结论!$P$24*InstalledCapacity*(1+CPI)^(N5-1),假设及结论!$J$24*InstalledCapacity*(1+CPI)^(N5-1)))),IF(假设及结论!$D$24=2,0,IF(N6=0,0,IF(N5&gt;ConstructPeriod+假设及结论!$C$24,IF(假设及结论!$B$24=1,假设及结论!$Q$27*InstalledCapacity*假设及结论!$E$18*(1+CPI)^(N5-1),假设及结论!$K$27*InstalledCapacity*假设及结论!$E$18*(1+CPI)^(N5-1)),IF(假设及结论!$B$24=1,假设及结论!$P$27*InstalledCapacity*假设及结论!$E$18*(1+CPI)^(N5-1),假设及结论!$J$27*InstalledCapacity*假设及结论!$E$18*(1+CPI)^(N5-1))))))</f>
        <v>643.903764134035</v>
      </c>
      <c r="O15" s="703">
        <f>IF(假设及结论!$D$24=1,IF(O6=0,0,IF(O5&gt;ConstructPeriod+假设及结论!$C$24,IF(假设及结论!$B$24=1,假设及结论!$Q$24*InstalledCapacity*(1+CPI)^(O5-1),假设及结论!$K$24*InstalledCapacity*(1+CPI)^(O5-1)),IF(假设及结论!$B$24=1,假设及结论!$P$24*InstalledCapacity*(1+CPI)^(O5-1),假设及结论!$J$24*InstalledCapacity*(1+CPI)^(O5-1)))),IF(假设及结论!$D$24=2,0,IF(O6=0,0,IF(O5&gt;ConstructPeriod+假设及结论!$C$24,IF(假设及结论!$B$24=1,假设及结论!$Q$27*InstalledCapacity*假设及结论!$E$18*(1+CPI)^(O5-1),假设及结论!$K$27*InstalledCapacity*假设及结论!$E$18*(1+CPI)^(O5-1)),IF(假设及结论!$B$24=1,假设及结论!$P$27*InstalledCapacity*假设及结论!$E$18*(1+CPI)^(O5-1),假设及结论!$J$27*InstalledCapacity*假设及结论!$E$18*(1+CPI)^(O5-1))))))</f>
        <v>644.547667898169</v>
      </c>
      <c r="P15" s="703">
        <f>IF(假设及结论!$D$24=1,IF(P6=0,0,IF(P5&gt;ConstructPeriod+假设及结论!$C$24,IF(假设及结论!$B$24=1,假设及结论!$Q$24*InstalledCapacity*(1+CPI)^(P5-1),假设及结论!$K$24*InstalledCapacity*(1+CPI)^(P5-1)),IF(假设及结论!$B$24=1,假设及结论!$P$24*InstalledCapacity*(1+CPI)^(P5-1),假设及结论!$J$24*InstalledCapacity*(1+CPI)^(P5-1)))),IF(假设及结论!$D$24=2,0,IF(P6=0,0,IF(P5&gt;ConstructPeriod+假设及结论!$C$24,IF(假设及结论!$B$24=1,假设及结论!$Q$27*InstalledCapacity*假设及结论!$E$18*(1+CPI)^(P5-1),假设及结论!$K$27*InstalledCapacity*假设及结论!$E$18*(1+CPI)^(P5-1)),IF(假设及结论!$B$24=1,假设及结论!$P$27*InstalledCapacity*假设及结论!$E$18*(1+CPI)^(P5-1),假设及结论!$J$27*InstalledCapacity*假设及结论!$E$18*(1+CPI)^(P5-1))))))</f>
        <v>645.192215566067</v>
      </c>
      <c r="Q15" s="703">
        <f>IF(假设及结论!$D$24=1,IF(Q6=0,0,IF(Q5&gt;ConstructPeriod+假设及结论!$C$24,IF(假设及结论!$B$24=1,假设及结论!$Q$24*InstalledCapacity*(1+CPI)^(Q5-1),假设及结论!$K$24*InstalledCapacity*(1+CPI)^(Q5-1)),IF(假设及结论!$B$24=1,假设及结论!$P$24*InstalledCapacity*(1+CPI)^(Q5-1),假设及结论!$J$24*InstalledCapacity*(1+CPI)^(Q5-1)))),IF(假设及结论!$D$24=2,0,IF(Q6=0,0,IF(Q5&gt;ConstructPeriod+假设及结论!$C$24,IF(假设及结论!$B$24=1,假设及结论!$Q$27*InstalledCapacity*假设及结论!$E$18*(1+CPI)^(Q5-1),假设及结论!$K$27*InstalledCapacity*假设及结论!$E$18*(1+CPI)^(Q5-1)),IF(假设及结论!$B$24=1,假设及结论!$P$27*InstalledCapacity*假设及结论!$E$18*(1+CPI)^(Q5-1),假设及结论!$J$27*InstalledCapacity*假设及结论!$E$18*(1+CPI)^(Q5-1))))))</f>
        <v>645.837407781633</v>
      </c>
      <c r="R15" s="703">
        <f>IF(假设及结论!$D$24=1,IF(R6=0,0,IF(R5&gt;ConstructPeriod+假设及结论!$C$24,IF(假设及结论!$B$24=1,假设及结论!$Q$24*InstalledCapacity*(1+CPI)^(R5-1),假设及结论!$K$24*InstalledCapacity*(1+CPI)^(R5-1)),IF(假设及结论!$B$24=1,假设及结论!$P$24*InstalledCapacity*(1+CPI)^(R5-1),假设及结论!$J$24*InstalledCapacity*(1+CPI)^(R5-1)))),IF(假设及结论!$D$24=2,0,IF(R6=0,0,IF(R5&gt;ConstructPeriod+假设及结论!$C$24,IF(假设及结论!$B$24=1,假设及结论!$Q$27*InstalledCapacity*假设及结论!$E$18*(1+CPI)^(R5-1),假设及结论!$K$27*InstalledCapacity*假设及结论!$E$18*(1+CPI)^(R5-1)),IF(假设及结论!$B$24=1,假设及结论!$P$27*InstalledCapacity*假设及结论!$E$18*(1+CPI)^(R5-1),假设及结论!$J$27*InstalledCapacity*假设及结论!$E$18*(1+CPI)^(R5-1))))))</f>
        <v>646.483245189415</v>
      </c>
      <c r="S15" s="703">
        <f>IF(假设及结论!$D$24=1,IF(S6=0,0,IF(S5&gt;ConstructPeriod+假设及结论!$C$24,IF(假设及结论!$B$24=1,假设及结论!$Q$24*InstalledCapacity*(1+CPI)^(S5-1),假设及结论!$K$24*InstalledCapacity*(1+CPI)^(S5-1)),IF(假设及结论!$B$24=1,假设及结论!$P$24*InstalledCapacity*(1+CPI)^(S5-1),假设及结论!$J$24*InstalledCapacity*(1+CPI)^(S5-1)))),IF(假设及结论!$D$24=2,0,IF(S6=0,0,IF(S5&gt;ConstructPeriod+假设及结论!$C$24,IF(假设及结论!$B$24=1,假设及结论!$Q$27*InstalledCapacity*假设及结论!$E$18*(1+CPI)^(S5-1),假设及结论!$K$27*InstalledCapacity*假设及结论!$E$18*(1+CPI)^(S5-1)),IF(假设及结论!$B$24=1,假设及结论!$P$27*InstalledCapacity*假设及结论!$E$18*(1+CPI)^(S5-1),假设及结论!$J$27*InstalledCapacity*假设及结论!$E$18*(1+CPI)^(S5-1))))))</f>
        <v>647.129728434604</v>
      </c>
      <c r="T15" s="703">
        <f>IF(假设及结论!$D$24=1,IF(T6=0,0,IF(T5&gt;ConstructPeriod+假设及结论!$C$24,IF(假设及结论!$B$24=1,假设及结论!$Q$24*InstalledCapacity*(1+CPI)^(T5-1),假设及结论!$K$24*InstalledCapacity*(1+CPI)^(T5-1)),IF(假设及结论!$B$24=1,假设及结论!$P$24*InstalledCapacity*(1+CPI)^(T5-1),假设及结论!$J$24*InstalledCapacity*(1+CPI)^(T5-1)))),IF(假设及结论!$D$24=2,0,IF(T6=0,0,IF(T5&gt;ConstructPeriod+假设及结论!$C$24,IF(假设及结论!$B$24=1,假设及结论!$Q$27*InstalledCapacity*假设及结论!$E$18*(1+CPI)^(T5-1),假设及结论!$K$27*InstalledCapacity*假设及结论!$E$18*(1+CPI)^(T5-1)),IF(假设及结论!$B$24=1,假设及结论!$P$27*InstalledCapacity*假设及结论!$E$18*(1+CPI)^(T5-1),假设及结论!$J$27*InstalledCapacity*假设及结论!$E$18*(1+CPI)^(T5-1))))))</f>
        <v>647.776858163039</v>
      </c>
      <c r="U15" s="703">
        <f>IF(假设及结论!$D$24=1,IF(U6=0,0,IF(U5&gt;ConstructPeriod+假设及结论!$C$24,IF(假设及结论!$B$24=1,假设及结论!$Q$24*InstalledCapacity*(1+CPI)^(U5-1),假设及结论!$K$24*InstalledCapacity*(1+CPI)^(U5-1)),IF(假设及结论!$B$24=1,假设及结论!$P$24*InstalledCapacity*(1+CPI)^(U5-1),假设及结论!$J$24*InstalledCapacity*(1+CPI)^(U5-1)))),IF(假设及结论!$D$24=2,0,IF(U6=0,0,IF(U5&gt;ConstructPeriod+假设及结论!$C$24,IF(假设及结论!$B$24=1,假设及结论!$Q$27*InstalledCapacity*假设及结论!$E$18*(1+CPI)^(U5-1),假设及结论!$K$27*InstalledCapacity*假设及结论!$E$18*(1+CPI)^(U5-1)),IF(假设及结论!$B$24=1,假设及结论!$P$27*InstalledCapacity*假设及结论!$E$18*(1+CPI)^(U5-1),假设及结论!$J$27*InstalledCapacity*假设及结论!$E$18*(1+CPI)^(U5-1))))))</f>
        <v>648.424635021202</v>
      </c>
      <c r="V15" s="703">
        <f>IF(假设及结论!$D$24=1,IF(V6=0,0,IF(V5&gt;ConstructPeriod+假设及结论!$C$24,IF(假设及结论!$B$24=1,假设及结论!$Q$24*InstalledCapacity*(1+CPI)^(V5-1),假设及结论!$K$24*InstalledCapacity*(1+CPI)^(V5-1)),IF(假设及结论!$B$24=1,假设及结论!$P$24*InstalledCapacity*(1+CPI)^(V5-1),假设及结论!$J$24*InstalledCapacity*(1+CPI)^(V5-1)))),IF(假设及结论!$D$24=2,0,IF(V6=0,0,IF(V5&gt;ConstructPeriod+假设及结论!$C$24,IF(假设及结论!$B$24=1,假设及结论!$Q$27*InstalledCapacity*假设及结论!$E$18*(1+CPI)^(V5-1),假设及结论!$K$27*InstalledCapacity*假设及结论!$E$18*(1+CPI)^(V5-1)),IF(假设及结论!$B$24=1,假设及结论!$P$27*InstalledCapacity*假设及结论!$E$18*(1+CPI)^(V5-1),假设及结论!$J$27*InstalledCapacity*假设及结论!$E$18*(1+CPI)^(V5-1))))))</f>
        <v>649.073059656223</v>
      </c>
      <c r="W15" s="703">
        <f>IF(假设及结论!$D$24=1,IF(W6=0,0,IF(W5&gt;ConstructPeriod+假设及结论!$C$24,IF(假设及结论!$B$24=1,假设及结论!$Q$24*InstalledCapacity*(1+CPI)^(W5-1),假设及结论!$K$24*InstalledCapacity*(1+CPI)^(W5-1)),IF(假设及结论!$B$24=1,假设及结论!$P$24*InstalledCapacity*(1+CPI)^(W5-1),假设及结论!$J$24*InstalledCapacity*(1+CPI)^(W5-1)))),IF(假设及结论!$D$24=2,0,IF(W6=0,0,IF(W5&gt;ConstructPeriod+假设及结论!$C$24,IF(假设及结论!$B$24=1,假设及结论!$Q$27*InstalledCapacity*假设及结论!$E$18*(1+CPI)^(W5-1),假设及结论!$K$27*InstalledCapacity*假设及结论!$E$18*(1+CPI)^(W5-1)),IF(假设及结论!$B$24=1,假设及结论!$P$27*InstalledCapacity*假设及结论!$E$18*(1+CPI)^(W5-1),假设及结论!$J$27*InstalledCapacity*假设及结论!$E$18*(1+CPI)^(W5-1))))))</f>
        <v>649.722132715879</v>
      </c>
      <c r="X15" s="703">
        <f>IF(假设及结论!$D$24=1,IF(X6=0,0,IF(X5&gt;ConstructPeriod+假设及结论!$C$24,IF(假设及结论!$B$24=1,假设及结论!$Q$24*InstalledCapacity*(1+CPI)^(X5-1),假设及结论!$K$24*InstalledCapacity*(1+CPI)^(X5-1)),IF(假设及结论!$B$24=1,假设及结论!$P$24*InstalledCapacity*(1+CPI)^(X5-1),假设及结论!$J$24*InstalledCapacity*(1+CPI)^(X5-1)))),IF(假设及结论!$D$24=2,0,IF(X6=0,0,IF(X5&gt;ConstructPeriod+假设及结论!$C$24,IF(假设及结论!$B$24=1,假设及结论!$Q$27*InstalledCapacity*假设及结论!$E$18*(1+CPI)^(X5-1),假设及结论!$K$27*InstalledCapacity*假设及结论!$E$18*(1+CPI)^(X5-1)),IF(假设及结论!$B$24=1,假设及结论!$P$27*InstalledCapacity*假设及结论!$E$18*(1+CPI)^(X5-1),假设及结论!$J$27*InstalledCapacity*假设及结论!$E$18*(1+CPI)^(X5-1))))))</f>
        <v>650.371854848595</v>
      </c>
      <c r="Y15" s="703">
        <f>IF(假设及结论!$D$24=1,IF(Y6=0,0,IF(Y5&gt;ConstructPeriod+假设及结论!$C$24,IF(假设及结论!$B$24=1,假设及结论!$Q$24*InstalledCapacity*(1+CPI)^(Y5-1),假设及结论!$K$24*InstalledCapacity*(1+CPI)^(Y5-1)),IF(假设及结论!$B$24=1,假设及结论!$P$24*InstalledCapacity*(1+CPI)^(Y5-1),假设及结论!$J$24*InstalledCapacity*(1+CPI)^(Y5-1)))),IF(假设及结论!$D$24=2,0,IF(Y6=0,0,IF(Y5&gt;ConstructPeriod+假设及结论!$C$24,IF(假设及结论!$B$24=1,假设及结论!$Q$27*InstalledCapacity*假设及结论!$E$18*(1+CPI)^(Y5-1),假设及结论!$K$27*InstalledCapacity*假设及结论!$E$18*(1+CPI)^(Y5-1)),IF(假设及结论!$B$24=1,假设及结论!$P$27*InstalledCapacity*假设及结论!$E$18*(1+CPI)^(Y5-1),假设及结论!$J$27*InstalledCapacity*假设及结论!$E$18*(1+CPI)^(Y5-1))))))</f>
        <v>651.022226703443</v>
      </c>
      <c r="Z15" s="703">
        <f>IF(假设及结论!$D$24=1,IF(Z6=0,0,IF(Z5&gt;ConstructPeriod+假设及结论!$C$24,IF(假设及结论!$B$24=1,假设及结论!$Q$24*InstalledCapacity*(1+CPI)^(Z5-1),假设及结论!$K$24*InstalledCapacity*(1+CPI)^(Z5-1)),IF(假设及结论!$B$24=1,假设及结论!$P$24*InstalledCapacity*(1+CPI)^(Z5-1),假设及结论!$J$24*InstalledCapacity*(1+CPI)^(Z5-1)))),IF(假设及结论!$D$24=2,0,IF(Z6=0,0,IF(Z5&gt;ConstructPeriod+假设及结论!$C$24,IF(假设及结论!$B$24=1,假设及结论!$Q$27*InstalledCapacity*假设及结论!$E$18*(1+CPI)^(Z5-1),假设及结论!$K$27*InstalledCapacity*假设及结论!$E$18*(1+CPI)^(Z5-1)),IF(假设及结论!$B$24=1,假设及结论!$P$27*InstalledCapacity*假设及结论!$E$18*(1+CPI)^(Z5-1),假设及结论!$J$27*InstalledCapacity*假设及结论!$E$18*(1+CPI)^(Z5-1))))))</f>
        <v>651.673248930146</v>
      </c>
      <c r="AA15" s="703">
        <f>IF(假设及结论!$D$24=1,IF(AA6=0,0,IF(AA5&gt;ConstructPeriod+假设及结论!$C$24,IF(假设及结论!$B$24=1,假设及结论!$Q$24*InstalledCapacity*(1+CPI)^(AA5-1),假设及结论!$K$24*InstalledCapacity*(1+CPI)^(AA5-1)),IF(假设及结论!$B$24=1,假设及结论!$P$24*InstalledCapacity*(1+CPI)^(AA5-1),假设及结论!$J$24*InstalledCapacity*(1+CPI)^(AA5-1)))),IF(假设及结论!$D$24=2,0,IF(AA6=0,0,IF(AA5&gt;ConstructPeriod+假设及结论!$C$24,IF(假设及结论!$B$24=1,假设及结论!$Q$27*InstalledCapacity*假设及结论!$E$18*(1+CPI)^(AA5-1),假设及结论!$K$27*InstalledCapacity*假设及结论!$E$18*(1+CPI)^(AA5-1)),IF(假设及结论!$B$24=1,假设及结论!$P$27*InstalledCapacity*假设及结论!$E$18*(1+CPI)^(AA5-1),假设及结论!$J$27*InstalledCapacity*假设及结论!$E$18*(1+CPI)^(AA5-1))))))</f>
        <v>652.324922179077</v>
      </c>
      <c r="AB15" s="703">
        <f>IF(假设及结论!$D$24=1,IF(AB6=0,0,IF(AB5&gt;ConstructPeriod+假设及结论!$C$24,IF(假设及结论!$B$24=1,假设及结论!$Q$24*InstalledCapacity*(1+CPI)^(AB5-1),假设及结论!$K$24*InstalledCapacity*(1+CPI)^(AB5-1)),IF(假设及结论!$B$24=1,假设及结论!$P$24*InstalledCapacity*(1+CPI)^(AB5-1),假设及结论!$J$24*InstalledCapacity*(1+CPI)^(AB5-1)))),IF(假设及结论!$D$24=2,0,IF(AB6=0,0,IF(AB5&gt;ConstructPeriod+假设及结论!$C$24,IF(假设及结论!$B$24=1,假设及结论!$Q$27*InstalledCapacity*假设及结论!$E$18*(1+CPI)^(AB5-1),假设及结论!$K$27*InstalledCapacity*假设及结论!$E$18*(1+CPI)^(AB5-1)),IF(假设及结论!$B$24=1,假设及结论!$P$27*InstalledCapacity*假设及结论!$E$18*(1+CPI)^(AB5-1),假设及结论!$J$27*InstalledCapacity*假设及结论!$E$18*(1+CPI)^(AB5-1))))))</f>
        <v>652.977247101256</v>
      </c>
      <c r="AC15" s="703">
        <f>IF(假设及结论!$D$24=1,IF(AC6=0,0,IF(AC5&gt;ConstructPeriod+假设及结论!$C$24,IF(假设及结论!$B$24=1,假设及结论!$Q$24*InstalledCapacity*(1+CPI)^(AC5-1),假设及结论!$K$24*InstalledCapacity*(1+CPI)^(AC5-1)),IF(假设及结论!$B$24=1,假设及结论!$P$24*InstalledCapacity*(1+CPI)^(AC5-1),假设及结论!$J$24*InstalledCapacity*(1+CPI)^(AC5-1)))),IF(假设及结论!$D$24=2,0,IF(AC6=0,0,IF(AC5&gt;ConstructPeriod+假设及结论!$C$24,IF(假设及结论!$B$24=1,假设及结论!$Q$27*InstalledCapacity*假设及结论!$E$18*(1+CPI)^(AC5-1),假设及结论!$K$27*InstalledCapacity*假设及结论!$E$18*(1+CPI)^(AC5-1)),IF(假设及结论!$B$24=1,假设及结论!$P$27*InstalledCapacity*假设及结论!$E$18*(1+CPI)^(AC5-1),假设及结论!$J$27*InstalledCapacity*假设及结论!$E$18*(1+CPI)^(AC5-1))))))</f>
        <v>653.630224348357</v>
      </c>
      <c r="AD15" s="703">
        <f>IF(假设及结论!$D$24=1,IF(AD6=0,0,IF(AD5&gt;ConstructPeriod+假设及结论!$C$24,IF(假设及结论!$B$24=1,假设及结论!$Q$24*InstalledCapacity*(1+CPI)^(AD5-1),假设及结论!$K$24*InstalledCapacity*(1+CPI)^(AD5-1)),IF(假设及结论!$B$24=1,假设及结论!$P$24*InstalledCapacity*(1+CPI)^(AD5-1),假设及结论!$J$24*InstalledCapacity*(1+CPI)^(AD5-1)))),IF(假设及结论!$D$24=2,0,IF(AD6=0,0,IF(AD5&gt;ConstructPeriod+假设及结论!$C$24,IF(假设及结论!$B$24=1,假设及结论!$Q$27*InstalledCapacity*假设及结论!$E$18*(1+CPI)^(AD5-1),假设及结论!$K$27*InstalledCapacity*假设及结论!$E$18*(1+CPI)^(AD5-1)),IF(假设及结论!$B$24=1,假设及结论!$P$27*InstalledCapacity*假设及结论!$E$18*(1+CPI)^(AD5-1),假设及结论!$J$27*InstalledCapacity*假设及结论!$E$18*(1+CPI)^(AD5-1))))))</f>
        <v>0</v>
      </c>
      <c r="AE15" s="704"/>
      <c r="AF15" s="704"/>
      <c r="AG15" s="704"/>
      <c r="AH15" s="704"/>
      <c r="AI15" s="704"/>
      <c r="AJ15" s="704"/>
      <c r="AK15" s="704"/>
      <c r="AL15" s="704"/>
      <c r="AM15" s="704"/>
      <c r="AN15" s="704"/>
      <c r="AO15" s="704"/>
      <c r="AP15" s="704"/>
      <c r="AQ15" s="704"/>
      <c r="AR15" s="704"/>
      <c r="AS15" s="704"/>
      <c r="AT15" s="704"/>
      <c r="AU15" s="704"/>
      <c r="AV15" s="704"/>
      <c r="AW15" s="704"/>
      <c r="AX15" s="704"/>
      <c r="AY15" s="704"/>
      <c r="AZ15" s="704"/>
      <c r="BA15" s="704"/>
      <c r="BB15" s="704"/>
    </row>
    <row r="16" spans="1:54">
      <c r="A16" s="700">
        <v>11</v>
      </c>
      <c r="B16" s="705" t="s">
        <v>844</v>
      </c>
      <c r="C16" s="702"/>
      <c r="D16" s="703"/>
      <c r="E16" s="703">
        <f>IF(假设及结论!$B$24=1,0,假设及结论!$E$24*假设及结论!$F$13)</f>
        <v>0</v>
      </c>
      <c r="F16" s="703">
        <f>IF(假设及结论!$B$24=1,0,假设及结论!$E$24*假设及结论!$F$13)</f>
        <v>0</v>
      </c>
      <c r="G16" s="703">
        <f>IF(假设及结论!$B$24=1,0,假设及结论!$E$24*假设及结论!$F$13)</f>
        <v>0</v>
      </c>
      <c r="H16" s="703">
        <f>IF(假设及结论!$B$24=1,0,假设及结论!$E$24*假设及结论!$F$13)</f>
        <v>0</v>
      </c>
      <c r="I16" s="703">
        <f>IF(假设及结论!$B$24=1,0,假设及结论!$E$24*假设及结论!$F$13)</f>
        <v>0</v>
      </c>
      <c r="J16" s="703">
        <f>IF(假设及结论!$B$24=1,0,假设及结论!$E$24*假设及结论!$F$13)</f>
        <v>0</v>
      </c>
      <c r="K16" s="703">
        <f>IF(假设及结论!$B$24=1,0,假设及结论!$E$24*假设及结论!$F$13)</f>
        <v>0</v>
      </c>
      <c r="L16" s="703">
        <f>IF(假设及结论!$B$24=1,0,假设及结论!$E$24*假设及结论!$F$13)</f>
        <v>0</v>
      </c>
      <c r="M16" s="703">
        <f>IF(假设及结论!$B$24=1,0,假设及结论!$E$24*假设及结论!$F$13)</f>
        <v>0</v>
      </c>
      <c r="N16" s="703">
        <f>IF(假设及结论!$B$24=1,0,假设及结论!$E$24*假设及结论!$F$13)</f>
        <v>0</v>
      </c>
      <c r="O16" s="703">
        <f>IF(假设及结论!$B$24=1,0,假设及结论!$E$24*假设及结论!$F$13)</f>
        <v>0</v>
      </c>
      <c r="P16" s="703">
        <f>IF(假设及结论!$B$24=1,0,假设及结论!$E$24*假设及结论!$F$13)</f>
        <v>0</v>
      </c>
      <c r="Q16" s="703">
        <f>IF(假设及结论!$B$24=1,0,假设及结论!$E$24*假设及结论!$F$13)</f>
        <v>0</v>
      </c>
      <c r="R16" s="703">
        <f>IF(假设及结论!$B$24=1,0,假设及结论!$E$24*假设及结论!$F$13)</f>
        <v>0</v>
      </c>
      <c r="S16" s="703">
        <f>IF(假设及结论!$B$24=1,0,假设及结论!$E$24*假设及结论!$F$13)</f>
        <v>0</v>
      </c>
      <c r="T16" s="703">
        <f>IF(假设及结论!$B$24=1,0,假设及结论!$E$24*假设及结论!$F$13)</f>
        <v>0</v>
      </c>
      <c r="U16" s="703">
        <f>IF(假设及结论!$B$24=1,0,假设及结论!$E$24*假设及结论!$F$13)</f>
        <v>0</v>
      </c>
      <c r="V16" s="703">
        <f>IF(假设及结论!$B$24=1,0,假设及结论!$E$24*假设及结论!$F$13)</f>
        <v>0</v>
      </c>
      <c r="W16" s="703">
        <f>IF(假设及结论!$B$24=1,0,假设及结论!$E$24*假设及结论!$F$13)</f>
        <v>0</v>
      </c>
      <c r="X16" s="703">
        <f>IF(假设及结论!$B$24=1,0,假设及结论!$E$24*假设及结论!$F$13)</f>
        <v>0</v>
      </c>
      <c r="Y16" s="703">
        <f>IF(假设及结论!$B$24=1,0,假设及结论!$E$24*假设及结论!$F$13)</f>
        <v>0</v>
      </c>
      <c r="Z16" s="703">
        <f>IF(假设及结论!$B$24=1,0,假设及结论!$E$24*假设及结论!$F$13)</f>
        <v>0</v>
      </c>
      <c r="AA16" s="703">
        <f>IF(假设及结论!$B$24=1,0,假设及结论!$E$24*假设及结论!$F$13)</f>
        <v>0</v>
      </c>
      <c r="AB16" s="703">
        <f>IF(假设及结论!$B$24=1,0,假设及结论!$E$24*假设及结论!$F$13)</f>
        <v>0</v>
      </c>
      <c r="AC16" s="703">
        <f>IF(假设及结论!$B$24=1,0,假设及结论!$E$24*假设及结论!$F$13)</f>
        <v>0</v>
      </c>
      <c r="AD16" s="703">
        <f>IF(假设及结论!$B$24=1,0,假设及结论!$E$24*假设及结论!$F$13)</f>
        <v>0</v>
      </c>
      <c r="AE16" s="704"/>
      <c r="AF16" s="704"/>
      <c r="AG16" s="704"/>
      <c r="AH16" s="704"/>
      <c r="AI16" s="704"/>
      <c r="AJ16" s="704"/>
      <c r="AK16" s="704"/>
      <c r="AL16" s="704"/>
      <c r="AM16" s="704"/>
      <c r="AN16" s="704"/>
      <c r="AO16" s="704"/>
      <c r="AP16" s="704"/>
      <c r="AQ16" s="704"/>
      <c r="AR16" s="704"/>
      <c r="AS16" s="704"/>
      <c r="AT16" s="704"/>
      <c r="AU16" s="704"/>
      <c r="AV16" s="704"/>
      <c r="AW16" s="704"/>
      <c r="AX16" s="704"/>
      <c r="AY16" s="704"/>
      <c r="AZ16" s="704"/>
      <c r="BA16" s="704"/>
      <c r="BB16" s="704"/>
    </row>
    <row r="17" ht="16" spans="1:54">
      <c r="A17" s="700">
        <v>12</v>
      </c>
      <c r="B17" s="705" t="s">
        <v>845</v>
      </c>
      <c r="C17" s="702">
        <f>SUM(C6:C15)</f>
        <v>89135.9971816035</v>
      </c>
      <c r="D17" s="703">
        <f>SUM(D6:D15)</f>
        <v>0</v>
      </c>
      <c r="E17" s="703">
        <f t="shared" ref="E17:AD17" si="2">SUM(E6:E16)</f>
        <v>3001.18505714455</v>
      </c>
      <c r="F17" s="703">
        <f t="shared" si="2"/>
        <v>3003.26463464455</v>
      </c>
      <c r="G17" s="703">
        <f t="shared" si="2"/>
        <v>3005.34629172205</v>
      </c>
      <c r="H17" s="703">
        <f t="shared" si="2"/>
        <v>3007.43003045662</v>
      </c>
      <c r="I17" s="703">
        <f t="shared" si="2"/>
        <v>3009.51585292993</v>
      </c>
      <c r="J17" s="703">
        <f t="shared" si="2"/>
        <v>3278.05111837027</v>
      </c>
      <c r="K17" s="703">
        <f t="shared" si="2"/>
        <v>3280.14111457435</v>
      </c>
      <c r="L17" s="703">
        <f t="shared" si="2"/>
        <v>3282.23320077463</v>
      </c>
      <c r="M17" s="703">
        <f t="shared" si="2"/>
        <v>3284.32737906112</v>
      </c>
      <c r="N17" s="703">
        <f t="shared" si="2"/>
        <v>3286.42365152589</v>
      </c>
      <c r="O17" s="703">
        <f t="shared" si="2"/>
        <v>3554.96937740767</v>
      </c>
      <c r="P17" s="703">
        <f t="shared" si="2"/>
        <v>3557.06984451365</v>
      </c>
      <c r="Q17" s="703">
        <f t="shared" si="2"/>
        <v>3559.17241208673</v>
      </c>
      <c r="R17" s="703">
        <f t="shared" si="2"/>
        <v>3561.27708222738</v>
      </c>
      <c r="S17" s="703">
        <f t="shared" si="2"/>
        <v>3563.38385703817</v>
      </c>
      <c r="T17" s="703">
        <f t="shared" si="2"/>
        <v>3831.94009576832</v>
      </c>
      <c r="U17" s="703">
        <f t="shared" si="2"/>
        <v>3834.05108623551</v>
      </c>
      <c r="V17" s="703">
        <f t="shared" si="2"/>
        <v>3836.16418769317</v>
      </c>
      <c r="W17" s="703">
        <f t="shared" si="2"/>
        <v>3838.27940225229</v>
      </c>
      <c r="X17" s="703">
        <f t="shared" si="2"/>
        <v>3840.39673202596</v>
      </c>
      <c r="Y17" s="703">
        <f t="shared" si="2"/>
        <v>4108.96353627395</v>
      </c>
      <c r="Z17" s="703">
        <f t="shared" si="2"/>
        <v>4111.0851028245</v>
      </c>
      <c r="AA17" s="703">
        <f t="shared" si="2"/>
        <v>4113.20879094161</v>
      </c>
      <c r="AB17" s="703">
        <f t="shared" si="2"/>
        <v>4115.33460274682</v>
      </c>
      <c r="AC17" s="703">
        <f t="shared" si="2"/>
        <v>4117.46254036385</v>
      </c>
      <c r="AD17" s="703">
        <f t="shared" si="2"/>
        <v>155.3202</v>
      </c>
      <c r="AE17" s="704"/>
      <c r="AF17" s="704"/>
      <c r="AG17" s="704"/>
      <c r="AH17" s="704"/>
      <c r="AI17" s="704"/>
      <c r="AJ17" s="704"/>
      <c r="AK17" s="704"/>
      <c r="AL17" s="704"/>
      <c r="AM17" s="704"/>
      <c r="AN17" s="704"/>
      <c r="AO17" s="704"/>
      <c r="AP17" s="704"/>
      <c r="AQ17" s="704"/>
      <c r="AR17" s="704"/>
      <c r="AS17" s="704"/>
      <c r="AT17" s="704"/>
      <c r="AU17" s="704"/>
      <c r="AV17" s="704"/>
      <c r="AW17" s="704"/>
      <c r="AX17" s="704"/>
      <c r="AY17" s="704"/>
      <c r="AZ17" s="704"/>
      <c r="BA17" s="704"/>
      <c r="BB17" s="704"/>
    </row>
    <row r="18" spans="1:54">
      <c r="A18" s="700">
        <v>13</v>
      </c>
      <c r="B18" s="701" t="s">
        <v>846</v>
      </c>
      <c r="C18" s="702">
        <f>SUM(E18:AD18)</f>
        <v>202499.991429855</v>
      </c>
      <c r="D18" s="703">
        <f>折旧!G8</f>
        <v>0</v>
      </c>
      <c r="E18" s="703">
        <f>折旧!H8</f>
        <v>10124.9995714928</v>
      </c>
      <c r="F18" s="703">
        <f>折旧!I8</f>
        <v>10124.9995714928</v>
      </c>
      <c r="G18" s="703">
        <f>折旧!J8</f>
        <v>10124.9995714928</v>
      </c>
      <c r="H18" s="703">
        <f>折旧!K8</f>
        <v>10124.9995714928</v>
      </c>
      <c r="I18" s="703">
        <f>折旧!L8</f>
        <v>10124.9995714928</v>
      </c>
      <c r="J18" s="703">
        <f>折旧!M8</f>
        <v>10124.9995714928</v>
      </c>
      <c r="K18" s="703">
        <f>折旧!N8</f>
        <v>10124.9995714928</v>
      </c>
      <c r="L18" s="703">
        <f>折旧!O8</f>
        <v>10124.9995714928</v>
      </c>
      <c r="M18" s="703">
        <f>折旧!P8</f>
        <v>10124.9995714928</v>
      </c>
      <c r="N18" s="703">
        <f>折旧!Q8</f>
        <v>10124.9995714928</v>
      </c>
      <c r="O18" s="703">
        <f>折旧!R8</f>
        <v>10124.9995714928</v>
      </c>
      <c r="P18" s="703">
        <f>折旧!S8</f>
        <v>10124.9995714928</v>
      </c>
      <c r="Q18" s="703">
        <f>折旧!T8</f>
        <v>10124.9995714928</v>
      </c>
      <c r="R18" s="703">
        <f>折旧!U8</f>
        <v>10124.9995714928</v>
      </c>
      <c r="S18" s="703">
        <f>折旧!V8</f>
        <v>10124.9995714928</v>
      </c>
      <c r="T18" s="703">
        <f>折旧!W8</f>
        <v>10124.9995714928</v>
      </c>
      <c r="U18" s="703">
        <f>折旧!X8</f>
        <v>10124.9995714928</v>
      </c>
      <c r="V18" s="703">
        <f>折旧!Y8</f>
        <v>10124.9995714928</v>
      </c>
      <c r="W18" s="703">
        <f>折旧!Z8</f>
        <v>10124.9995714928</v>
      </c>
      <c r="X18" s="703">
        <f>折旧!AA8</f>
        <v>10124.9995714928</v>
      </c>
      <c r="Y18" s="703">
        <f>折旧!AB8</f>
        <v>0</v>
      </c>
      <c r="Z18" s="703">
        <f>折旧!AC8</f>
        <v>0</v>
      </c>
      <c r="AA18" s="703">
        <f>折旧!AD8</f>
        <v>0</v>
      </c>
      <c r="AB18" s="703">
        <f>折旧!AE8</f>
        <v>0</v>
      </c>
      <c r="AC18" s="703">
        <f>折旧!AF8</f>
        <v>0</v>
      </c>
      <c r="AD18" s="703">
        <f>折旧!AG8</f>
        <v>0</v>
      </c>
      <c r="AE18" s="704"/>
      <c r="AF18" s="704"/>
      <c r="AG18" s="704"/>
      <c r="AH18" s="704"/>
      <c r="AI18" s="704"/>
      <c r="AJ18" s="704"/>
      <c r="AK18" s="704"/>
      <c r="AL18" s="704"/>
      <c r="AM18" s="704"/>
      <c r="AN18" s="704"/>
      <c r="AO18" s="704"/>
      <c r="AP18" s="704"/>
      <c r="AQ18" s="704"/>
      <c r="AR18" s="704"/>
      <c r="AS18" s="704"/>
      <c r="AT18" s="704"/>
      <c r="AU18" s="704"/>
      <c r="AV18" s="704"/>
      <c r="AW18" s="704"/>
      <c r="AX18" s="704"/>
      <c r="AY18" s="704"/>
      <c r="AZ18" s="704"/>
      <c r="BA18" s="704"/>
      <c r="BB18" s="704"/>
    </row>
    <row r="19" spans="1:54">
      <c r="A19" s="700">
        <v>14</v>
      </c>
      <c r="B19" s="701" t="s">
        <v>847</v>
      </c>
      <c r="C19" s="702"/>
      <c r="D19" s="703">
        <f>摊销!E19</f>
        <v>0</v>
      </c>
      <c r="E19" s="703">
        <f>摊销!F19</f>
        <v>0</v>
      </c>
      <c r="F19" s="703">
        <f>摊销!G19</f>
        <v>0</v>
      </c>
      <c r="G19" s="703">
        <f>摊销!H19</f>
        <v>0</v>
      </c>
      <c r="H19" s="703">
        <f>摊销!I19</f>
        <v>0</v>
      </c>
      <c r="I19" s="703">
        <f>摊销!J19</f>
        <v>0</v>
      </c>
      <c r="J19" s="703">
        <f>摊销!K19</f>
        <v>0</v>
      </c>
      <c r="K19" s="703">
        <f>摊销!L19</f>
        <v>0</v>
      </c>
      <c r="L19" s="703">
        <f>摊销!M19</f>
        <v>0</v>
      </c>
      <c r="M19" s="703">
        <f>摊销!N19</f>
        <v>0</v>
      </c>
      <c r="N19" s="703">
        <f>摊销!O19</f>
        <v>0</v>
      </c>
      <c r="O19" s="703">
        <f>摊销!P19</f>
        <v>0</v>
      </c>
      <c r="P19" s="703">
        <f>摊销!Q19</f>
        <v>0</v>
      </c>
      <c r="Q19" s="703">
        <f>摊销!R19</f>
        <v>0</v>
      </c>
      <c r="R19" s="703">
        <f>摊销!S19</f>
        <v>0</v>
      </c>
      <c r="S19" s="703">
        <f>摊销!T19</f>
        <v>0</v>
      </c>
      <c r="T19" s="703">
        <f>摊销!U19</f>
        <v>0</v>
      </c>
      <c r="U19" s="703">
        <f>摊销!V19</f>
        <v>0</v>
      </c>
      <c r="V19" s="703">
        <f>摊销!W19</f>
        <v>0</v>
      </c>
      <c r="W19" s="703">
        <f>摊销!X19</f>
        <v>0</v>
      </c>
      <c r="X19" s="703">
        <f>摊销!Y19</f>
        <v>0</v>
      </c>
      <c r="Y19" s="703">
        <f>摊销!Z19</f>
        <v>0</v>
      </c>
      <c r="Z19" s="703">
        <f>摊销!AA19</f>
        <v>0</v>
      </c>
      <c r="AA19" s="703">
        <f>摊销!AB19</f>
        <v>0</v>
      </c>
      <c r="AB19" s="703">
        <f>摊销!AC19</f>
        <v>0</v>
      </c>
      <c r="AC19" s="703">
        <f>摊销!AD19</f>
        <v>0</v>
      </c>
      <c r="AD19" s="703">
        <f>摊销!AE19</f>
        <v>0</v>
      </c>
      <c r="AE19" s="704"/>
      <c r="AF19" s="704"/>
      <c r="AG19" s="704"/>
      <c r="AH19" s="704"/>
      <c r="AI19" s="704"/>
      <c r="AJ19" s="704"/>
      <c r="AK19" s="704"/>
      <c r="AL19" s="704"/>
      <c r="AM19" s="704"/>
      <c r="AN19" s="704"/>
      <c r="AO19" s="704"/>
      <c r="AP19" s="704"/>
      <c r="AQ19" s="704"/>
      <c r="AR19" s="704"/>
      <c r="AS19" s="704"/>
      <c r="AT19" s="704"/>
      <c r="AU19" s="704"/>
      <c r="AV19" s="704"/>
      <c r="AW19" s="704"/>
      <c r="AX19" s="704"/>
      <c r="AY19" s="704"/>
      <c r="AZ19" s="704"/>
      <c r="BA19" s="704"/>
      <c r="BB19" s="704"/>
    </row>
    <row r="20" spans="1:54">
      <c r="A20" s="700">
        <v>15</v>
      </c>
      <c r="B20" s="701" t="s">
        <v>848</v>
      </c>
      <c r="C20" s="702">
        <f t="shared" ref="C20:C24" si="3">SUM(E20:AD20)</f>
        <v>53715.7872003405</v>
      </c>
      <c r="D20" s="703">
        <f>还本付息!D29</f>
        <v>0</v>
      </c>
      <c r="E20" s="703">
        <f>还本付息!E29</f>
        <v>6714.47340004257</v>
      </c>
      <c r="F20" s="703">
        <f>还本付息!F29</f>
        <v>6266.84184003973</v>
      </c>
      <c r="G20" s="703">
        <f>还本付息!G29</f>
        <v>5819.21028003689</v>
      </c>
      <c r="H20" s="703">
        <f>还本付息!H29</f>
        <v>5371.57872003405</v>
      </c>
      <c r="I20" s="703">
        <f>还本付息!I29</f>
        <v>4923.94716003121</v>
      </c>
      <c r="J20" s="703">
        <f>还本付息!J29</f>
        <v>4476.31560002838</v>
      </c>
      <c r="K20" s="703">
        <f>还本付息!K29</f>
        <v>4028.68404002554</v>
      </c>
      <c r="L20" s="703">
        <f>还本付息!L29</f>
        <v>3581.0524800227</v>
      </c>
      <c r="M20" s="703">
        <f>还本付息!M29</f>
        <v>3133.42092001986</v>
      </c>
      <c r="N20" s="703">
        <f>还本付息!N29</f>
        <v>2685.78936001703</v>
      </c>
      <c r="O20" s="703">
        <f>还本付息!O29</f>
        <v>2238.15780001419</v>
      </c>
      <c r="P20" s="703">
        <f>还本付息!P29</f>
        <v>1790.52624001135</v>
      </c>
      <c r="Q20" s="703">
        <f>还本付息!Q29</f>
        <v>1342.89468000851</v>
      </c>
      <c r="R20" s="703">
        <f>还本付息!R29</f>
        <v>895.263120005674</v>
      </c>
      <c r="S20" s="703">
        <f>还本付息!S29</f>
        <v>447.631560002836</v>
      </c>
      <c r="T20" s="703">
        <f>还本付息!T29</f>
        <v>-1.70257408171892e-12</v>
      </c>
      <c r="U20" s="703">
        <f>还本付息!U29</f>
        <v>-1.70257408171892e-12</v>
      </c>
      <c r="V20" s="703">
        <f>还本付息!V29</f>
        <v>-1.70257408171892e-12</v>
      </c>
      <c r="W20" s="703">
        <f>还本付息!W29</f>
        <v>-1.70257408171892e-12</v>
      </c>
      <c r="X20" s="703">
        <f>还本付息!X29</f>
        <v>-1.70257408171892e-12</v>
      </c>
      <c r="Y20" s="703">
        <f>还本付息!Y29</f>
        <v>-1.70257408171892e-12</v>
      </c>
      <c r="Z20" s="703">
        <f>还本付息!Z29</f>
        <v>-1.70257408171892e-12</v>
      </c>
      <c r="AA20" s="703">
        <f>还本付息!AA29</f>
        <v>-1.70257408171892e-12</v>
      </c>
      <c r="AB20" s="703">
        <f>还本付息!AB29</f>
        <v>-1.70257408171892e-12</v>
      </c>
      <c r="AC20" s="703">
        <f>还本付息!AC29</f>
        <v>-1.70257408171892e-12</v>
      </c>
      <c r="AD20" s="703">
        <f>还本付息!AD29</f>
        <v>-1.70257408171892e-12</v>
      </c>
      <c r="AE20" s="704"/>
      <c r="AF20" s="704"/>
      <c r="AG20" s="704"/>
      <c r="AH20" s="704"/>
      <c r="AI20" s="704"/>
      <c r="AJ20" s="704"/>
      <c r="AK20" s="704"/>
      <c r="AL20" s="704"/>
      <c r="AM20" s="704"/>
      <c r="AN20" s="704"/>
      <c r="AO20" s="704"/>
      <c r="AP20" s="704"/>
      <c r="AQ20" s="704"/>
      <c r="AR20" s="704"/>
      <c r="AS20" s="704"/>
      <c r="AT20" s="704"/>
      <c r="AU20" s="704"/>
      <c r="AV20" s="704"/>
      <c r="AW20" s="704"/>
      <c r="AX20" s="704"/>
      <c r="AY20" s="704"/>
      <c r="AZ20" s="704"/>
      <c r="BA20" s="704"/>
      <c r="BB20" s="704"/>
    </row>
    <row r="21" ht="16" spans="1:54">
      <c r="A21" s="700">
        <v>16</v>
      </c>
      <c r="B21" s="705" t="s">
        <v>849</v>
      </c>
      <c r="C21" s="702">
        <f t="shared" si="3"/>
        <v>345351.775811799</v>
      </c>
      <c r="D21" s="703">
        <f t="shared" ref="D21:AD21" si="4">SUM(D17:D20)</f>
        <v>0</v>
      </c>
      <c r="E21" s="703">
        <f t="shared" si="4"/>
        <v>19840.6580286799</v>
      </c>
      <c r="F21" s="703">
        <f t="shared" si="4"/>
        <v>19395.106046177</v>
      </c>
      <c r="G21" s="703">
        <f t="shared" si="4"/>
        <v>18949.5561432517</v>
      </c>
      <c r="H21" s="703">
        <f t="shared" si="4"/>
        <v>18504.0083219834</v>
      </c>
      <c r="I21" s="703">
        <f t="shared" si="4"/>
        <v>18058.4625844539</v>
      </c>
      <c r="J21" s="703">
        <f t="shared" si="4"/>
        <v>17879.3662898914</v>
      </c>
      <c r="K21" s="703">
        <f t="shared" si="4"/>
        <v>17433.8247260926</v>
      </c>
      <c r="L21" s="703">
        <f t="shared" si="4"/>
        <v>16988.2852522901</v>
      </c>
      <c r="M21" s="703">
        <f t="shared" si="4"/>
        <v>16542.7478705737</v>
      </c>
      <c r="N21" s="703">
        <f t="shared" si="4"/>
        <v>16097.2125830357</v>
      </c>
      <c r="O21" s="703">
        <f t="shared" si="4"/>
        <v>15918.1267489146</v>
      </c>
      <c r="P21" s="703">
        <f t="shared" si="4"/>
        <v>15472.5956560178</v>
      </c>
      <c r="Q21" s="703">
        <f t="shared" si="4"/>
        <v>15027.066663588</v>
      </c>
      <c r="R21" s="703">
        <f t="shared" si="4"/>
        <v>14581.5397737258</v>
      </c>
      <c r="S21" s="703">
        <f t="shared" si="4"/>
        <v>14136.0149885338</v>
      </c>
      <c r="T21" s="703">
        <f t="shared" si="4"/>
        <v>13956.9396672611</v>
      </c>
      <c r="U21" s="703">
        <f t="shared" si="4"/>
        <v>13959.0506577283</v>
      </c>
      <c r="V21" s="703">
        <f t="shared" si="4"/>
        <v>13961.1637591859</v>
      </c>
      <c r="W21" s="703">
        <f t="shared" si="4"/>
        <v>13963.278973745</v>
      </c>
      <c r="X21" s="703">
        <f t="shared" si="4"/>
        <v>13965.3963035187</v>
      </c>
      <c r="Y21" s="703">
        <f t="shared" si="4"/>
        <v>4108.96353627395</v>
      </c>
      <c r="Z21" s="703">
        <f t="shared" si="4"/>
        <v>4111.0851028245</v>
      </c>
      <c r="AA21" s="703">
        <f t="shared" si="4"/>
        <v>4113.2087909416</v>
      </c>
      <c r="AB21" s="703">
        <f t="shared" si="4"/>
        <v>4115.33460274682</v>
      </c>
      <c r="AC21" s="703">
        <f t="shared" si="4"/>
        <v>4117.46254036385</v>
      </c>
      <c r="AD21" s="703">
        <f t="shared" si="4"/>
        <v>155.320199999998</v>
      </c>
      <c r="AE21" s="704"/>
      <c r="AF21" s="704"/>
      <c r="AG21" s="704"/>
      <c r="AH21" s="704"/>
      <c r="AI21" s="704"/>
      <c r="AJ21" s="704"/>
      <c r="AK21" s="704"/>
      <c r="AL21" s="704"/>
      <c r="AM21" s="704"/>
      <c r="AN21" s="704"/>
      <c r="AO21" s="704"/>
      <c r="AP21" s="704"/>
      <c r="AQ21" s="704"/>
      <c r="AR21" s="704"/>
      <c r="AS21" s="704"/>
      <c r="AT21" s="704"/>
      <c r="AU21" s="704"/>
      <c r="AV21" s="704"/>
      <c r="AW21" s="704"/>
      <c r="AX21" s="704"/>
      <c r="AY21" s="704"/>
      <c r="AZ21" s="704"/>
      <c r="BA21" s="704"/>
      <c r="BB21" s="704"/>
    </row>
    <row r="22" spans="1:54">
      <c r="A22" s="711"/>
      <c r="B22" s="712" t="s">
        <v>850</v>
      </c>
      <c r="C22" s="702"/>
      <c r="D22" s="703">
        <f>D21-D23</f>
        <v>0</v>
      </c>
      <c r="E22" s="703">
        <f>E21-E23</f>
        <v>19089.9080286799</v>
      </c>
      <c r="F22" s="703">
        <f t="shared" ref="F22:N22" si="5">F21-F23</f>
        <v>18643.605296177</v>
      </c>
      <c r="G22" s="703">
        <f t="shared" si="5"/>
        <v>18197.3038925017</v>
      </c>
      <c r="H22" s="703">
        <f t="shared" si="5"/>
        <v>17751.0038189827</v>
      </c>
      <c r="I22" s="703">
        <f t="shared" si="5"/>
        <v>17304.7050769502</v>
      </c>
      <c r="J22" s="703">
        <f t="shared" si="5"/>
        <v>17124.8550248802</v>
      </c>
      <c r="K22" s="703">
        <f t="shared" si="5"/>
        <v>16678.5589498164</v>
      </c>
      <c r="L22" s="703">
        <f t="shared" si="5"/>
        <v>16232.2642102376</v>
      </c>
      <c r="M22" s="703">
        <f t="shared" si="5"/>
        <v>15785.9708074791</v>
      </c>
      <c r="N22" s="703">
        <f t="shared" si="5"/>
        <v>15339.678742878</v>
      </c>
      <c r="O22" s="703">
        <f t="shared" ref="O22:X22" si="6">O21-O23</f>
        <v>15159.8353749168</v>
      </c>
      <c r="P22" s="703">
        <f t="shared" si="6"/>
        <v>14713.5459906459</v>
      </c>
      <c r="Q22" s="703">
        <f t="shared" si="6"/>
        <v>14267.2579485508</v>
      </c>
      <c r="R22" s="703">
        <f t="shared" si="6"/>
        <v>13820.9712499736</v>
      </c>
      <c r="S22" s="703">
        <f t="shared" si="6"/>
        <v>13374.6858962578</v>
      </c>
      <c r="T22" s="703">
        <f t="shared" si="6"/>
        <v>13194.8492458928</v>
      </c>
      <c r="U22" s="703">
        <f t="shared" si="6"/>
        <v>13196.1981459386</v>
      </c>
      <c r="V22" s="703">
        <f t="shared" si="6"/>
        <v>13197.5483948845</v>
      </c>
      <c r="W22" s="703">
        <f t="shared" si="6"/>
        <v>13198.8999940793</v>
      </c>
      <c r="X22" s="703">
        <f t="shared" si="6"/>
        <v>13200.2529448733</v>
      </c>
      <c r="Y22" s="703">
        <f t="shared" ref="Y22:AD22" si="7">Y21-Y23</f>
        <v>3343.0550342699</v>
      </c>
      <c r="Z22" s="703">
        <f t="shared" si="7"/>
        <v>3344.41069231845</v>
      </c>
      <c r="AA22" s="703">
        <f t="shared" si="7"/>
        <v>3345.76770602504</v>
      </c>
      <c r="AB22" s="703">
        <f t="shared" si="7"/>
        <v>3347.12607674535</v>
      </c>
      <c r="AC22" s="703">
        <f t="shared" si="7"/>
        <v>3348.48580583637</v>
      </c>
      <c r="AD22" s="703">
        <f t="shared" si="7"/>
        <v>155.320199999998</v>
      </c>
      <c r="AE22" s="704"/>
      <c r="AF22" s="704"/>
      <c r="AG22" s="704"/>
      <c r="AH22" s="704"/>
      <c r="AI22" s="704"/>
      <c r="AJ22" s="704"/>
      <c r="AK22" s="704"/>
      <c r="AL22" s="704"/>
      <c r="AM22" s="704"/>
      <c r="AN22" s="704"/>
      <c r="AO22" s="704"/>
      <c r="AP22" s="704"/>
      <c r="AQ22" s="704"/>
      <c r="AR22" s="704"/>
      <c r="AS22" s="704"/>
      <c r="AT22" s="704"/>
      <c r="AU22" s="704"/>
      <c r="AV22" s="704"/>
      <c r="AW22" s="704"/>
      <c r="AX22" s="704"/>
      <c r="AY22" s="704"/>
      <c r="AZ22" s="704"/>
      <c r="BA22" s="704"/>
      <c r="BB22" s="704"/>
    </row>
    <row r="23" ht="16" spans="1:54">
      <c r="A23" s="711"/>
      <c r="B23" s="1105" t="s">
        <v>851</v>
      </c>
      <c r="C23" s="702"/>
      <c r="D23" s="703"/>
      <c r="E23" s="703">
        <f t="shared" ref="E23:X23" si="8">E8</f>
        <v>750.75</v>
      </c>
      <c r="F23" s="703">
        <f t="shared" si="8"/>
        <v>751.50075</v>
      </c>
      <c r="G23" s="703">
        <f t="shared" si="8"/>
        <v>752.25225075</v>
      </c>
      <c r="H23" s="703">
        <f t="shared" si="8"/>
        <v>753.00450300075</v>
      </c>
      <c r="I23" s="703">
        <f t="shared" si="8"/>
        <v>753.75750750375</v>
      </c>
      <c r="J23" s="703">
        <f t="shared" si="8"/>
        <v>754.511265011254</v>
      </c>
      <c r="K23" s="703">
        <f t="shared" si="8"/>
        <v>755.265776276265</v>
      </c>
      <c r="L23" s="703">
        <f t="shared" si="8"/>
        <v>756.021042052541</v>
      </c>
      <c r="M23" s="703">
        <f t="shared" si="8"/>
        <v>756.777063094594</v>
      </c>
      <c r="N23" s="703">
        <f t="shared" si="8"/>
        <v>757.533840157688</v>
      </c>
      <c r="O23" s="703">
        <f t="shared" si="8"/>
        <v>758.291373997846</v>
      </c>
      <c r="P23" s="703">
        <f t="shared" si="8"/>
        <v>759.049665371844</v>
      </c>
      <c r="Q23" s="703">
        <f t="shared" si="8"/>
        <v>759.808715037216</v>
      </c>
      <c r="R23" s="703">
        <f t="shared" si="8"/>
        <v>760.568523752253</v>
      </c>
      <c r="S23" s="703">
        <f t="shared" si="8"/>
        <v>761.329092276005</v>
      </c>
      <c r="T23" s="703">
        <f t="shared" si="8"/>
        <v>762.090421368281</v>
      </c>
      <c r="U23" s="703">
        <f t="shared" si="8"/>
        <v>762.852511789649</v>
      </c>
      <c r="V23" s="703">
        <f t="shared" si="8"/>
        <v>763.615364301438</v>
      </c>
      <c r="W23" s="703">
        <f t="shared" si="8"/>
        <v>764.37897966574</v>
      </c>
      <c r="X23" s="703">
        <f t="shared" si="8"/>
        <v>765.143358645405</v>
      </c>
      <c r="Y23" s="703">
        <f t="shared" ref="Y23:AD23" si="9">Y8</f>
        <v>765.908502004051</v>
      </c>
      <c r="Z23" s="703">
        <f t="shared" si="9"/>
        <v>766.674410506055</v>
      </c>
      <c r="AA23" s="703">
        <f t="shared" si="9"/>
        <v>767.441084916561</v>
      </c>
      <c r="AB23" s="703">
        <f t="shared" si="9"/>
        <v>768.208526001477</v>
      </c>
      <c r="AC23" s="703">
        <f t="shared" si="9"/>
        <v>768.976734527479</v>
      </c>
      <c r="AD23" s="703">
        <f t="shared" si="9"/>
        <v>0</v>
      </c>
      <c r="AE23" s="704"/>
      <c r="AF23" s="704"/>
      <c r="AG23" s="704"/>
      <c r="AH23" s="704"/>
      <c r="AI23" s="704"/>
      <c r="AJ23" s="704"/>
      <c r="AK23" s="704"/>
      <c r="AL23" s="704"/>
      <c r="AM23" s="704"/>
      <c r="AN23" s="704"/>
      <c r="AO23" s="704"/>
      <c r="AP23" s="704"/>
      <c r="AQ23" s="704"/>
      <c r="AR23" s="704"/>
      <c r="AS23" s="704"/>
      <c r="AT23" s="704"/>
      <c r="AU23" s="704"/>
      <c r="AV23" s="704"/>
      <c r="AW23" s="704"/>
      <c r="AX23" s="704"/>
      <c r="AY23" s="704"/>
      <c r="AZ23" s="704"/>
      <c r="BA23" s="704"/>
      <c r="BB23" s="704"/>
    </row>
    <row r="24" spans="1:54">
      <c r="B24" s="713" t="s">
        <v>852</v>
      </c>
      <c r="C24" s="714">
        <f>SUM(E24:AD24)/OperationPeriod</f>
        <v>47.5391984968552</v>
      </c>
      <c r="E24" s="715">
        <f>E17/假设及结论!$F13</f>
        <v>40.0158007619273</v>
      </c>
      <c r="F24" s="715">
        <f>F17/假设及结论!$F13</f>
        <v>40.0435284619273</v>
      </c>
      <c r="G24" s="715">
        <f>G17/假设及结论!$F13</f>
        <v>40.0712838896273</v>
      </c>
      <c r="H24" s="715">
        <f>H17/假设及结论!$F13</f>
        <v>40.099067072755</v>
      </c>
      <c r="I24" s="715">
        <f>I17/假设及结论!$F13</f>
        <v>40.1268780390658</v>
      </c>
      <c r="J24" s="715">
        <f>J17/假设及结论!$F13</f>
        <v>43.7073482449369</v>
      </c>
      <c r="K24" s="715">
        <f>K17/假设及结论!$F13</f>
        <v>43.7352148609913</v>
      </c>
      <c r="L24" s="715">
        <f>L17/假设及结论!$F13</f>
        <v>43.7631093436618</v>
      </c>
      <c r="M24" s="715">
        <f>M17/假设及结论!$F13</f>
        <v>43.7910317208149</v>
      </c>
      <c r="N24" s="715">
        <f>N17/假设及结论!$F13</f>
        <v>43.8189820203452</v>
      </c>
      <c r="O24" s="715">
        <f>O17/假设及结论!$F13</f>
        <v>47.399591698769</v>
      </c>
      <c r="P24" s="715">
        <f>P17/假设及结论!$F13</f>
        <v>47.4275979268486</v>
      </c>
      <c r="Q24" s="715">
        <f>Q17/假设及结论!$F13</f>
        <v>47.4556321611564</v>
      </c>
      <c r="R24" s="715">
        <f>R17/假设及结论!$F13</f>
        <v>47.4836944296984</v>
      </c>
      <c r="S24" s="715">
        <f>S17/假设及结论!$F13</f>
        <v>47.511784760509</v>
      </c>
      <c r="T24" s="715">
        <f>T17/假设及结论!$F13</f>
        <v>51.0925346102443</v>
      </c>
      <c r="U24" s="715">
        <f>U17/假设及结论!$F13</f>
        <v>51.1206811498068</v>
      </c>
      <c r="V24" s="715">
        <f>V17/假设及结论!$F13</f>
        <v>51.1488558359089</v>
      </c>
      <c r="W24" s="715">
        <f>W17/假设及结论!$F13</f>
        <v>51.1770586966971</v>
      </c>
      <c r="X24" s="715">
        <f>X17/假设及结论!$F13</f>
        <v>51.2052897603461</v>
      </c>
      <c r="Y24" s="715">
        <f>Y17/假设及结论!$F13</f>
        <v>54.7861804836527</v>
      </c>
      <c r="Z24" s="715">
        <f>Z17/假设及结论!$F13</f>
        <v>54.81446803766</v>
      </c>
      <c r="AA24" s="715">
        <f>AA17/假设及结论!$F13</f>
        <v>54.8427838792214</v>
      </c>
      <c r="AB24" s="715">
        <f>AB17/假设及结论!$F13</f>
        <v>54.8711280366243</v>
      </c>
      <c r="AC24" s="715">
        <f>AC17/假设及结论!$F13</f>
        <v>54.8995005381846</v>
      </c>
      <c r="AD24" s="715">
        <f>AD17/假设及结论!$F13</f>
        <v>2.070936</v>
      </c>
    </row>
    <row r="25" spans="1:54">
      <c r="B25" s="716" t="s">
        <v>853</v>
      </c>
      <c r="C25" s="717"/>
      <c r="D25" s="718"/>
      <c r="X25" s="682"/>
      <c r="Y25" s="682"/>
      <c r="Z25" s="682"/>
      <c r="AA25" s="682"/>
      <c r="AB25" s="682"/>
      <c r="AC25" s="682"/>
      <c r="AD25" s="682"/>
    </row>
    <row r="26" ht="15.95" spans="1:54">
      <c r="D26" s="719"/>
    </row>
    <row r="27" spans="1:54">
      <c r="A27" s="720"/>
      <c r="B27" s="721"/>
      <c r="C27" s="722" t="s">
        <v>243</v>
      </c>
      <c r="D27" s="723">
        <v>1</v>
      </c>
      <c r="E27" s="723">
        <v>2</v>
      </c>
      <c r="F27" s="723">
        <v>3</v>
      </c>
      <c r="G27" s="723">
        <v>4</v>
      </c>
      <c r="H27" s="723">
        <v>5</v>
      </c>
      <c r="I27" s="723">
        <v>6</v>
      </c>
      <c r="J27" s="723">
        <v>7</v>
      </c>
      <c r="K27" s="723">
        <v>8</v>
      </c>
      <c r="L27" s="723">
        <v>9</v>
      </c>
      <c r="M27" s="723">
        <v>10</v>
      </c>
      <c r="N27" s="723">
        <v>11</v>
      </c>
      <c r="O27" s="723">
        <v>12</v>
      </c>
      <c r="P27" s="723">
        <v>13</v>
      </c>
      <c r="Q27" s="723">
        <v>14</v>
      </c>
      <c r="R27" s="723">
        <v>15</v>
      </c>
      <c r="S27" s="723">
        <v>16</v>
      </c>
      <c r="T27" s="723">
        <v>17</v>
      </c>
      <c r="U27" s="723">
        <v>18</v>
      </c>
      <c r="V27" s="723">
        <v>19</v>
      </c>
      <c r="W27" s="723">
        <v>20</v>
      </c>
      <c r="X27" s="723">
        <v>21</v>
      </c>
      <c r="Y27" s="723">
        <v>22</v>
      </c>
      <c r="Z27" s="723">
        <v>23</v>
      </c>
      <c r="AA27" s="723">
        <v>24</v>
      </c>
      <c r="AB27" s="723">
        <v>25</v>
      </c>
      <c r="AC27" s="723">
        <v>26</v>
      </c>
      <c r="AD27" s="724">
        <v>27</v>
      </c>
    </row>
    <row r="28" spans="1:54">
      <c r="A28" s="725" t="s">
        <v>854</v>
      </c>
      <c r="B28" s="726" t="s">
        <v>855</v>
      </c>
      <c r="C28" s="702">
        <f>SUM(E28:AD28)</f>
        <v>37569.077357381</v>
      </c>
      <c r="D28" s="727"/>
      <c r="E28" s="728">
        <f>IF(E27&lt;OperationPeriod+1,$C$30*E29,0)</f>
        <v>932.565750005912</v>
      </c>
      <c r="F28" s="728">
        <f>IF(F27&lt;OperationPeriod+1,$C$30*F29,0)</f>
        <v>932.565750005912</v>
      </c>
      <c r="G28" s="728">
        <f>IF(G27&lt;OperationPeriod+1,$C$30*G29,0)</f>
        <v>932.565750005912</v>
      </c>
      <c r="H28" s="728">
        <f>IF(H27&lt;OperationPeriod+1,$C$30*H29,0)</f>
        <v>932.565750005912</v>
      </c>
      <c r="I28" s="728">
        <f>IF(I27&lt;OperationPeriod+1,$C$30*I29,0)</f>
        <v>932.565750005912</v>
      </c>
      <c r="J28" s="728">
        <f>IF(J27&lt;OperationPeriod+1,$C$30*J29,0)</f>
        <v>1731.90782143955</v>
      </c>
      <c r="K28" s="728">
        <f>IF(K27&lt;OperationPeriod+1,$C$30*K29,0)</f>
        <v>1731.90782143955</v>
      </c>
      <c r="L28" s="728">
        <f>IF(L27&lt;OperationPeriod+1,$C$30*L29,0)</f>
        <v>1731.90782143955</v>
      </c>
      <c r="M28" s="728">
        <f>IF(M27&lt;OperationPeriod+1,$C$30*M29,0)</f>
        <v>1731.90782143955</v>
      </c>
      <c r="N28" s="728">
        <f>IF(N27&lt;OperationPeriod+1,$C$30*N29,0)</f>
        <v>1731.90782143955</v>
      </c>
      <c r="O28" s="728">
        <f>IF(O27&lt;OperationPeriod+1,$C$30*O29,0)</f>
        <v>1731.90782143955</v>
      </c>
      <c r="P28" s="728">
        <f>IF(P27&lt;OperationPeriod+1,$C$30*P29,0)</f>
        <v>1731.90782143955</v>
      </c>
      <c r="Q28" s="728">
        <f>IF(Q27&lt;OperationPeriod+1,$C$30*Q29,0)</f>
        <v>1731.90782143955</v>
      </c>
      <c r="R28" s="728">
        <f>IF(R27&lt;OperationPeriod+1,$C$30*R29,0)</f>
        <v>1731.90782143955</v>
      </c>
      <c r="S28" s="728">
        <f>IF(S27&lt;OperationPeriod+1,$C$30*S29,0)</f>
        <v>1731.90782143955</v>
      </c>
      <c r="T28" s="728">
        <f>IF(T27&lt;OperationPeriod+1,$C$30*T29,0)</f>
        <v>1731.90782143955</v>
      </c>
      <c r="U28" s="728">
        <f>IF(U27&lt;OperationPeriod+1,$C$30*U29,0)</f>
        <v>1731.90782143955</v>
      </c>
      <c r="V28" s="728">
        <f>IF(V27&lt;OperationPeriod+1,$C$30*V29,0)</f>
        <v>1731.90782143955</v>
      </c>
      <c r="W28" s="728">
        <f>IF(W27&lt;OperationPeriod+1,$C$30*W29,0)</f>
        <v>1731.90782143955</v>
      </c>
      <c r="X28" s="728">
        <f>IF(X27&lt;OperationPeriod+1,$C$30*X29,0)</f>
        <v>1731.90782143955</v>
      </c>
      <c r="Y28" s="728">
        <f>IF(Y27&lt;OperationPeriod+1,$C$30*Y29,0)</f>
        <v>1731.90782143955</v>
      </c>
      <c r="Z28" s="728">
        <f>IF(Z27&lt;OperationPeriod+1,$C$30*Z29,0)</f>
        <v>1731.90782143955</v>
      </c>
      <c r="AA28" s="728">
        <f>IF(AA27&lt;OperationPeriod+1,$C$30*AA29,0)</f>
        <v>1731.90782143955</v>
      </c>
      <c r="AB28" s="728">
        <f>IF(AB27&lt;OperationPeriod+1,$C$30*AB29,0)</f>
        <v>1731.90782143955</v>
      </c>
      <c r="AC28" s="728">
        <f>IF(AC27&lt;OperationPeriod+1,$C$30*AC29,0)</f>
        <v>0</v>
      </c>
      <c r="AD28" s="728">
        <f>IF(AD27&lt;OperationPeriod+1,$C$30*AD29,0)</f>
        <v>0</v>
      </c>
    </row>
    <row r="29" s="680" customFormat="1" spans="1:54">
      <c r="A29" s="729"/>
      <c r="B29" s="730" t="s">
        <v>856</v>
      </c>
      <c r="C29" s="731"/>
      <c r="D29" s="732"/>
      <c r="E29" s="733">
        <v>0.0035</v>
      </c>
      <c r="F29" s="733">
        <v>0.0035</v>
      </c>
      <c r="G29" s="733">
        <v>0.0035</v>
      </c>
      <c r="H29" s="733">
        <v>0.0035</v>
      </c>
      <c r="I29" s="733">
        <v>0.0035</v>
      </c>
      <c r="J29" s="733">
        <v>0.0065</v>
      </c>
      <c r="K29" s="733">
        <v>0.0065</v>
      </c>
      <c r="L29" s="733">
        <v>0.0065</v>
      </c>
      <c r="M29" s="733">
        <v>0.0065</v>
      </c>
      <c r="N29" s="733">
        <v>0.0065</v>
      </c>
      <c r="O29" s="733">
        <v>0.0065</v>
      </c>
      <c r="P29" s="733">
        <v>0.0065</v>
      </c>
      <c r="Q29" s="733">
        <v>0.0065</v>
      </c>
      <c r="R29" s="733">
        <v>0.0065</v>
      </c>
      <c r="S29" s="733">
        <v>0.0065</v>
      </c>
      <c r="T29" s="733">
        <v>0.0065</v>
      </c>
      <c r="U29" s="733">
        <v>0.0065</v>
      </c>
      <c r="V29" s="733">
        <v>0.0065</v>
      </c>
      <c r="W29" s="733">
        <v>0.0065</v>
      </c>
      <c r="X29" s="733">
        <v>0.0065</v>
      </c>
      <c r="Y29" s="733">
        <v>0.0065</v>
      </c>
      <c r="Z29" s="733">
        <v>0.0065</v>
      </c>
      <c r="AA29" s="733">
        <v>0.0065</v>
      </c>
      <c r="AB29" s="733">
        <v>0.0065</v>
      </c>
      <c r="AC29" s="733">
        <v>0.01</v>
      </c>
      <c r="AD29" s="733">
        <v>0.005</v>
      </c>
    </row>
    <row r="30" spans="1:54">
      <c r="A30" s="734"/>
      <c r="B30" s="726" t="s">
        <v>857</v>
      </c>
      <c r="C30" s="728">
        <f>折旧!E7</f>
        <v>266447.357144546</v>
      </c>
      <c r="D30" s="727"/>
      <c r="E30" s="728"/>
      <c r="F30" s="735"/>
      <c r="G30" s="728"/>
      <c r="H30" s="728"/>
      <c r="I30" s="728"/>
      <c r="J30" s="728"/>
      <c r="K30" s="728"/>
      <c r="L30" s="728"/>
      <c r="M30" s="728"/>
      <c r="N30" s="728"/>
      <c r="O30" s="728"/>
      <c r="P30" s="728"/>
      <c r="Q30" s="728"/>
      <c r="R30" s="728"/>
      <c r="S30" s="728"/>
      <c r="T30" s="728"/>
      <c r="U30" s="728"/>
      <c r="V30" s="728"/>
      <c r="W30" s="728"/>
      <c r="X30" s="728"/>
      <c r="Y30" s="728"/>
      <c r="Z30" s="728"/>
      <c r="AA30" s="728"/>
      <c r="AB30" s="728"/>
      <c r="AC30" s="728"/>
      <c r="AD30" s="736"/>
    </row>
    <row r="31" spans="1:54">
      <c r="A31" s="737"/>
      <c r="B31" s="738"/>
      <c r="C31" s="739"/>
      <c r="D31" s="740"/>
      <c r="E31" s="739"/>
      <c r="F31" s="741"/>
      <c r="G31" s="739"/>
      <c r="H31" s="739"/>
      <c r="I31" s="739"/>
      <c r="J31" s="739"/>
      <c r="K31" s="739"/>
      <c r="L31" s="739"/>
      <c r="M31" s="739"/>
      <c r="N31" s="739"/>
      <c r="O31" s="739"/>
      <c r="P31" s="739"/>
      <c r="Q31" s="739"/>
      <c r="R31" s="739"/>
      <c r="S31" s="739"/>
      <c r="T31" s="739"/>
      <c r="U31" s="739"/>
      <c r="V31" s="739"/>
      <c r="W31" s="739"/>
      <c r="X31" s="739"/>
      <c r="Y31" s="739"/>
      <c r="Z31" s="739"/>
      <c r="AA31" s="739"/>
      <c r="AB31" s="739"/>
      <c r="AC31" s="739"/>
      <c r="AD31" s="742"/>
    </row>
    <row r="32" ht="16" spans="1:54">
      <c r="A32" s="743" t="s">
        <v>838</v>
      </c>
      <c r="B32" s="738" t="s">
        <v>858</v>
      </c>
      <c r="C32" s="739"/>
      <c r="D32" s="740"/>
      <c r="E32" s="744">
        <v>0.001</v>
      </c>
      <c r="F32" s="744">
        <v>0.001</v>
      </c>
      <c r="G32" s="744">
        <v>0.001</v>
      </c>
      <c r="H32" s="744">
        <v>0.001</v>
      </c>
      <c r="I32" s="744">
        <v>0.001</v>
      </c>
      <c r="J32" s="744">
        <v>0.002</v>
      </c>
      <c r="K32" s="744">
        <v>0.002</v>
      </c>
      <c r="L32" s="744">
        <v>0.002</v>
      </c>
      <c r="M32" s="744">
        <v>0.002</v>
      </c>
      <c r="N32" s="744">
        <v>0.002</v>
      </c>
      <c r="O32" s="744">
        <v>0.003</v>
      </c>
      <c r="P32" s="744">
        <v>0.003</v>
      </c>
      <c r="Q32" s="744">
        <v>0.003</v>
      </c>
      <c r="R32" s="744">
        <v>0.003</v>
      </c>
      <c r="S32" s="744">
        <v>0.003</v>
      </c>
      <c r="T32" s="744">
        <v>0.004</v>
      </c>
      <c r="U32" s="744">
        <v>0.004</v>
      </c>
      <c r="V32" s="744">
        <v>0.004</v>
      </c>
      <c r="W32" s="744">
        <v>0.004</v>
      </c>
      <c r="X32" s="744">
        <v>0.004</v>
      </c>
      <c r="Y32" s="744">
        <v>0.005</v>
      </c>
      <c r="Z32" s="744">
        <v>0.005</v>
      </c>
      <c r="AA32" s="744">
        <v>0.005</v>
      </c>
      <c r="AB32" s="744">
        <v>0.005</v>
      </c>
      <c r="AC32" s="744">
        <v>0.005</v>
      </c>
      <c r="AD32" s="744"/>
    </row>
    <row r="33" spans="1:30">
      <c r="A33" s="737"/>
      <c r="B33" s="738"/>
      <c r="C33" s="739"/>
      <c r="D33" s="740"/>
      <c r="E33" s="739"/>
      <c r="F33" s="741"/>
      <c r="G33" s="739"/>
      <c r="H33" s="739"/>
      <c r="I33" s="739"/>
      <c r="J33" s="739"/>
      <c r="K33" s="739"/>
      <c r="L33" s="739"/>
      <c r="M33" s="739"/>
      <c r="N33" s="739"/>
      <c r="O33" s="739"/>
      <c r="P33" s="739"/>
      <c r="Q33" s="739"/>
      <c r="R33" s="739"/>
      <c r="S33" s="739"/>
      <c r="T33" s="739"/>
      <c r="U33" s="739"/>
      <c r="V33" s="739"/>
      <c r="W33" s="739"/>
      <c r="X33" s="739"/>
      <c r="Y33" s="739"/>
      <c r="Z33" s="739"/>
      <c r="AA33" s="739"/>
      <c r="AB33" s="739"/>
      <c r="AC33" s="739"/>
      <c r="AD33" s="742"/>
    </row>
    <row r="34" spans="1:30">
      <c r="A34" s="745"/>
      <c r="B34" s="746"/>
      <c r="C34" s="747"/>
      <c r="D34" s="748"/>
      <c r="E34" s="747"/>
      <c r="F34" s="747"/>
      <c r="G34" s="747"/>
      <c r="H34" s="747"/>
      <c r="I34" s="747"/>
      <c r="J34" s="747"/>
      <c r="K34" s="747"/>
      <c r="L34" s="747"/>
      <c r="M34" s="747"/>
      <c r="N34" s="747"/>
      <c r="O34" s="747"/>
      <c r="P34" s="747"/>
      <c r="Q34" s="747"/>
      <c r="R34" s="747"/>
      <c r="S34" s="747"/>
      <c r="T34" s="747"/>
      <c r="U34" s="747"/>
      <c r="V34" s="747"/>
      <c r="W34" s="747"/>
      <c r="X34" s="746"/>
      <c r="Y34" s="746"/>
      <c r="Z34" s="746"/>
      <c r="AA34" s="746"/>
      <c r="AB34" s="746"/>
      <c r="AC34" s="746"/>
      <c r="AD34" s="749"/>
    </row>
    <row r="35" spans="1:30">
      <c r="A35" s="750" t="s">
        <v>859</v>
      </c>
      <c r="B35" s="726" t="s">
        <v>860</v>
      </c>
      <c r="C35" s="702">
        <f>SUM(E35:AD35)</f>
        <v>79934.2071433639</v>
      </c>
      <c r="D35" s="727"/>
      <c r="E35" s="728">
        <f>IF(E27&lt;OperationPeriod+1,$C$30*E36)</f>
        <v>2664.47357144546</v>
      </c>
      <c r="F35" s="728">
        <f>IF(F27&lt;OperationPeriod+1,$C$30*F36,0)</f>
        <v>2664.47357144546</v>
      </c>
      <c r="G35" s="728">
        <f>IF(G27&lt;OperationPeriod+1,$C$30*G36,0)</f>
        <v>2664.47357144546</v>
      </c>
      <c r="H35" s="728">
        <f>IF(H27&lt;OperationPeriod+1,$C$30*H36,0)</f>
        <v>2664.47357144546</v>
      </c>
      <c r="I35" s="728">
        <f>IF(I27&lt;OperationPeriod+1,$C$30*I36,0)</f>
        <v>2664.47357144546</v>
      </c>
      <c r="J35" s="728">
        <f>IF(J27&lt;OperationPeriod+1,$C$30*J36,0)</f>
        <v>2664.47357144546</v>
      </c>
      <c r="K35" s="728">
        <f>IF(K27&lt;OperationPeriod+1,$C$30*K36,0)</f>
        <v>3197.36828573456</v>
      </c>
      <c r="L35" s="728">
        <f>IF(L27&lt;OperationPeriod+1,$C$30*L36,0)</f>
        <v>3197.36828573456</v>
      </c>
      <c r="M35" s="728">
        <f>IF(M27&lt;OperationPeriod+1,$C$30*M36,0)</f>
        <v>3197.36828573456</v>
      </c>
      <c r="N35" s="728">
        <f>IF(N27&lt;OperationPeriod+1,$C$30*N36,0)</f>
        <v>3197.36828573456</v>
      </c>
      <c r="O35" s="728">
        <f>IF(O27&lt;OperationPeriod+1,$C$30*O36,0)</f>
        <v>3197.36828573456</v>
      </c>
      <c r="P35" s="728">
        <f>IF(P27&lt;OperationPeriod+1,$C$30*P36,0)</f>
        <v>3197.36828573456</v>
      </c>
      <c r="Q35" s="728">
        <f>IF(Q27&lt;OperationPeriod+1,$C$30*Q36,0)</f>
        <v>3197.36828573456</v>
      </c>
      <c r="R35" s="728">
        <f>IF(R27&lt;OperationPeriod+1,$C$30*R36,0)</f>
        <v>3197.36828573456</v>
      </c>
      <c r="S35" s="728">
        <f>IF(S27&lt;OperationPeriod+1,$C$30*S36,0)</f>
        <v>3197.36828573456</v>
      </c>
      <c r="T35" s="728">
        <f>IF(T27&lt;OperationPeriod+1,$C$30*T36,0)</f>
        <v>3197.36828573456</v>
      </c>
      <c r="U35" s="728">
        <f>IF(U27&lt;OperationPeriod+1,$C$30*U36,0)</f>
        <v>3996.7103571682</v>
      </c>
      <c r="V35" s="728">
        <f>IF(V27&lt;OperationPeriod+1,$C$30*V36,0)</f>
        <v>3996.7103571682</v>
      </c>
      <c r="W35" s="728">
        <f>IF(W27&lt;OperationPeriod+1,$C$30*W36,0)</f>
        <v>3996.7103571682</v>
      </c>
      <c r="X35" s="728">
        <f>IF(X27&lt;OperationPeriod+1,$C$30*X36,0)</f>
        <v>3996.7103571682</v>
      </c>
      <c r="Y35" s="728">
        <f>IF(Y27&lt;OperationPeriod+1,$C$30*Y36,0)</f>
        <v>3996.7103571682</v>
      </c>
      <c r="Z35" s="728">
        <f>IF(Z27&lt;OperationPeriod+1,$C$30*Z36,0)</f>
        <v>3996.7103571682</v>
      </c>
      <c r="AA35" s="728">
        <f>IF(AA27&lt;OperationPeriod+1,$C$30*AA36,0)</f>
        <v>3996.7103571682</v>
      </c>
      <c r="AB35" s="728">
        <f>IF(AB27&lt;OperationPeriod+1,$C$30*AB36,0)</f>
        <v>3996.7103571682</v>
      </c>
      <c r="AC35" s="728">
        <f>IF(AC27&lt;OperationPeriod+1,$C$30*AC36,0)</f>
        <v>0</v>
      </c>
      <c r="AD35" s="728">
        <f>IF(AD27&lt;OperationPeriod+1,$C$30*AD36,0)</f>
        <v>0</v>
      </c>
    </row>
    <row r="36" s="680" customFormat="1" spans="1:30">
      <c r="A36" s="751"/>
      <c r="B36" s="730" t="s">
        <v>861</v>
      </c>
      <c r="C36" s="731"/>
      <c r="D36" s="732"/>
      <c r="E36" s="733">
        <v>0.01</v>
      </c>
      <c r="F36" s="733">
        <v>0.01</v>
      </c>
      <c r="G36" s="733">
        <v>0.01</v>
      </c>
      <c r="H36" s="733">
        <v>0.01</v>
      </c>
      <c r="I36" s="733">
        <v>0.01</v>
      </c>
      <c r="J36" s="733">
        <v>0.01</v>
      </c>
      <c r="K36" s="733">
        <v>0.012</v>
      </c>
      <c r="L36" s="733">
        <v>0.012</v>
      </c>
      <c r="M36" s="733">
        <v>0.012</v>
      </c>
      <c r="N36" s="733">
        <v>0.012</v>
      </c>
      <c r="O36" s="733">
        <v>0.012</v>
      </c>
      <c r="P36" s="733">
        <v>0.012</v>
      </c>
      <c r="Q36" s="733">
        <v>0.012</v>
      </c>
      <c r="R36" s="733">
        <v>0.012</v>
      </c>
      <c r="S36" s="733">
        <v>0.012</v>
      </c>
      <c r="T36" s="733">
        <v>0.012</v>
      </c>
      <c r="U36" s="733">
        <v>0.015</v>
      </c>
      <c r="V36" s="733">
        <v>0.015</v>
      </c>
      <c r="W36" s="733">
        <v>0.015</v>
      </c>
      <c r="X36" s="733">
        <v>0.015</v>
      </c>
      <c r="Y36" s="733">
        <v>0.015</v>
      </c>
      <c r="Z36" s="733">
        <v>0.015</v>
      </c>
      <c r="AA36" s="733">
        <v>0.015</v>
      </c>
      <c r="AB36" s="733">
        <v>0.015</v>
      </c>
      <c r="AC36" s="733">
        <v>0.015</v>
      </c>
      <c r="AD36" s="752">
        <v>0.015</v>
      </c>
    </row>
    <row r="37" ht="15.95" spans="1:30">
      <c r="A37" s="753"/>
      <c r="B37" s="754" t="s">
        <v>857</v>
      </c>
      <c r="C37" s="755">
        <f>折旧!E7</f>
        <v>266447.357144546</v>
      </c>
      <c r="D37" s="756"/>
      <c r="E37" s="755"/>
      <c r="F37" s="757"/>
      <c r="G37" s="755"/>
      <c r="H37" s="755"/>
      <c r="I37" s="755"/>
      <c r="J37" s="755"/>
      <c r="K37" s="755"/>
      <c r="L37" s="755"/>
      <c r="M37" s="755"/>
      <c r="N37" s="755"/>
      <c r="O37" s="755"/>
      <c r="P37" s="755"/>
      <c r="Q37" s="755"/>
      <c r="R37" s="755"/>
      <c r="S37" s="755"/>
      <c r="T37" s="755"/>
      <c r="U37" s="755"/>
      <c r="V37" s="755"/>
      <c r="W37" s="755"/>
      <c r="X37" s="755"/>
      <c r="Y37" s="755"/>
      <c r="Z37" s="755"/>
      <c r="AA37" s="755"/>
      <c r="AB37" s="755"/>
      <c r="AC37" s="755"/>
      <c r="AD37" s="758"/>
    </row>
  </sheetData>
  <mergeCells count="7">
    <mergeCell ref="A2:X2"/>
    <mergeCell ref="D4:AD4"/>
    <mergeCell ref="B25:D25"/>
    <mergeCell ref="A28:A30"/>
    <mergeCell ref="A35:A37"/>
    <mergeCell ref="B4:B5"/>
    <mergeCell ref="C4:C5"/>
  </mergeCells>
  <printOptions horizontalCentered="1"/>
  <pageMargins left="0" right="0" top="1.22013888888889" bottom="0.984027777777778" header="0.511805555555556" footer="0.511805555555556"/>
  <pageSetup paperSize="9" orientation="portrait" blackAndWhite="1"/>
  <headerFooter alignWithMargins="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AO111"/>
  <sheetViews>
    <sheetView zoomScale="120" zoomScaleNormal="120" topLeftCell="A22" workbookViewId="0">
      <selection activeCell="P7" sqref="P7"/>
    </sheetView>
  </sheetViews>
  <sheetFormatPr defaultColWidth="15.6607142857143" defaultRowHeight="17.6"/>
  <cols>
    <col min="1" max="1" width="9.875" style="407" customWidth="1"/>
    <col min="2" max="2" width="12.7678571428571" style="410" customWidth="1"/>
    <col min="3" max="3" width="12.3839285714286" style="410" customWidth="1"/>
    <col min="4" max="4" width="12.2767857142857" style="410" customWidth="1"/>
    <col min="5" max="5" width="10.9553571428571" style="410" customWidth="1"/>
    <col min="6" max="6" width="9.42857142857143" style="410" customWidth="1"/>
    <col min="7" max="7" width="11.1339285714286" style="410" customWidth="1"/>
    <col min="8" max="8" width="9.42857142857143" style="410" customWidth="1"/>
    <col min="9" max="9" width="7.9375" style="410" customWidth="1"/>
    <col min="10" max="10" width="9.99107142857143" style="410" customWidth="1"/>
    <col min="11" max="11" width="7.83035714285714" style="410" customWidth="1"/>
    <col min="12" max="12" width="8.5" style="410" customWidth="1"/>
    <col min="13" max="13" width="9.41964285714286" style="410" customWidth="1"/>
    <col min="14" max="14" width="13.0089285714286" style="407" customWidth="1"/>
    <col min="15" max="15" width="10.8571428571429" style="407" customWidth="1"/>
    <col min="16" max="16" width="8.13392857142857" style="407" customWidth="1"/>
    <col min="17" max="17" width="10.3303571428571" style="407" customWidth="1"/>
    <col min="18" max="18" width="7" style="407" customWidth="1"/>
    <col min="19" max="19" width="17.1607142857143" style="407" customWidth="1"/>
    <col min="20" max="20" width="7.16071428571429" style="407" customWidth="1"/>
    <col min="21" max="30" width="7.66071428571429" style="407" customWidth="1"/>
    <col min="31" max="41" width="15.6607142857143" style="407"/>
    <col min="42" max="16382" width="15.6607142857143" style="410"/>
  </cols>
  <sheetData>
    <row r="1" s="407" customFormat="1" ht="12.75" spans="1:41">
      <c r="M1" s="411"/>
      <c r="N1" s="412"/>
      <c r="O1" s="413"/>
    </row>
    <row r="2" s="408" customFormat="1" ht="27" customHeight="1" spans="1:41">
      <c r="A2" s="411"/>
      <c r="B2" s="414" t="s">
        <v>862</v>
      </c>
      <c r="C2" s="415"/>
      <c r="D2" s="415"/>
      <c r="E2" s="415"/>
      <c r="F2" s="415"/>
      <c r="G2" s="415"/>
      <c r="H2" s="415"/>
      <c r="I2" s="415"/>
      <c r="J2" s="415"/>
      <c r="K2" s="415"/>
      <c r="L2" s="415"/>
      <c r="M2" s="415"/>
      <c r="N2" s="415"/>
      <c r="O2" s="415"/>
      <c r="P2" s="415"/>
      <c r="Q2" s="416"/>
      <c r="R2" s="411"/>
      <c r="S2" s="411"/>
      <c r="T2" s="411"/>
      <c r="U2" s="411"/>
      <c r="V2" s="411"/>
      <c r="W2" s="411"/>
      <c r="X2" s="411"/>
      <c r="Y2" s="411"/>
      <c r="Z2" s="411"/>
      <c r="AA2" s="411"/>
      <c r="AB2" s="411"/>
      <c r="AC2" s="411"/>
      <c r="AD2" s="411"/>
      <c r="AE2" s="411"/>
      <c r="AF2" s="411"/>
      <c r="AG2" s="411"/>
      <c r="AH2" s="411"/>
      <c r="AI2" s="411"/>
      <c r="AJ2" s="411"/>
    </row>
    <row r="3" ht="14.25" customHeight="1" spans="1:41">
      <c r="B3" s="417" t="s">
        <v>863</v>
      </c>
      <c r="C3" s="418"/>
      <c r="D3" s="418"/>
      <c r="E3" s="418"/>
      <c r="F3" s="418"/>
      <c r="G3" s="418"/>
      <c r="H3" s="418"/>
      <c r="I3" s="418"/>
      <c r="J3" s="418"/>
      <c r="K3" s="418"/>
      <c r="L3" s="418"/>
      <c r="M3" s="418"/>
      <c r="N3" s="418"/>
      <c r="O3" s="418"/>
      <c r="P3" s="418"/>
      <c r="Q3" s="419"/>
      <c r="AH3" s="410"/>
      <c r="AI3" s="410"/>
      <c r="AJ3" s="410"/>
      <c r="AK3" s="410"/>
      <c r="AL3" s="410"/>
      <c r="AM3" s="410"/>
      <c r="AN3" s="410"/>
      <c r="AO3" s="410"/>
    </row>
    <row r="4" ht="42" customHeight="1" spans="1:41">
      <c r="B4" s="420"/>
      <c r="C4" s="421"/>
      <c r="D4" s="422"/>
      <c r="E4" s="422"/>
      <c r="F4" s="422"/>
      <c r="G4" s="421"/>
      <c r="H4" s="421"/>
      <c r="I4" s="421"/>
      <c r="J4" s="421"/>
      <c r="K4" s="421"/>
      <c r="L4" s="421"/>
      <c r="M4" s="421"/>
      <c r="N4" s="421"/>
      <c r="O4" s="421"/>
      <c r="P4" s="421"/>
      <c r="Q4" s="423"/>
      <c r="AH4" s="410"/>
      <c r="AI4" s="410"/>
      <c r="AJ4" s="410"/>
      <c r="AK4" s="410"/>
      <c r="AL4" s="410"/>
      <c r="AM4" s="410"/>
      <c r="AN4" s="410"/>
      <c r="AO4" s="410"/>
    </row>
    <row r="5" s="409" customFormat="1" ht="26" customHeight="1" spans="1:41">
      <c r="A5" s="424"/>
      <c r="B5" s="425" t="s">
        <v>864</v>
      </c>
      <c r="C5" s="426"/>
      <c r="D5" s="427"/>
      <c r="E5" s="428"/>
      <c r="F5" s="429"/>
      <c r="G5" s="430"/>
      <c r="H5" s="430"/>
      <c r="I5" s="430"/>
      <c r="J5" s="426"/>
      <c r="K5" s="426"/>
      <c r="L5" s="426"/>
      <c r="M5" s="426"/>
      <c r="N5" s="430"/>
      <c r="O5" s="430"/>
      <c r="P5" s="430"/>
      <c r="Q5" s="431"/>
      <c r="R5" s="407"/>
      <c r="S5" s="407"/>
      <c r="T5" s="407"/>
      <c r="U5" s="407"/>
      <c r="V5" s="407"/>
      <c r="W5" s="407"/>
      <c r="X5" s="407"/>
      <c r="Y5" s="407"/>
      <c r="Z5" s="407"/>
      <c r="AA5" s="407"/>
      <c r="AB5" s="407"/>
      <c r="AC5" s="407"/>
      <c r="AD5" s="407"/>
      <c r="AE5" s="407"/>
      <c r="AF5" s="407"/>
      <c r="AG5" s="407"/>
      <c r="AH5" s="407"/>
      <c r="AI5" s="407"/>
      <c r="AJ5" s="407"/>
    </row>
    <row r="6" s="409" customFormat="1" ht="53" customHeight="1" spans="1:41">
      <c r="A6" s="424"/>
      <c r="B6" s="432" t="s">
        <v>865</v>
      </c>
      <c r="C6" s="433" t="str">
        <f>"交流/直流容量
（MW）
容配比 "&amp;TEXT(假设及结论!$F$13/假设及结论!$E$13,"#.##")</f>
        <v>交流/直流容量
（MW）
容配比 1.25</v>
      </c>
      <c r="D6" s="434" t="s">
        <v>866</v>
      </c>
      <c r="E6" s="434" t="s">
        <v>867</v>
      </c>
      <c r="F6" s="435" t="s">
        <v>868</v>
      </c>
      <c r="G6" s="436" t="s">
        <v>869</v>
      </c>
      <c r="H6" s="437" t="s">
        <v>870</v>
      </c>
      <c r="I6" s="438" t="s">
        <v>871</v>
      </c>
      <c r="J6" s="439" t="s">
        <v>872</v>
      </c>
      <c r="K6" s="440" t="s">
        <v>873</v>
      </c>
      <c r="L6" s="441" t="s">
        <v>874</v>
      </c>
      <c r="M6" s="442" t="s">
        <v>875</v>
      </c>
      <c r="N6" s="443" t="s">
        <v>876</v>
      </c>
      <c r="O6" s="443" t="s">
        <v>877</v>
      </c>
      <c r="P6" s="443" t="s">
        <v>878</v>
      </c>
      <c r="Q6" s="444" t="s">
        <v>879</v>
      </c>
      <c r="R6" s="445"/>
      <c r="S6" s="446"/>
      <c r="T6" s="446"/>
      <c r="U6" s="407"/>
      <c r="V6" s="407"/>
      <c r="W6" s="407"/>
      <c r="X6" s="407"/>
      <c r="Y6" s="407"/>
      <c r="Z6" s="407"/>
      <c r="AA6" s="407"/>
      <c r="AB6" s="407"/>
      <c r="AC6" s="407"/>
      <c r="AD6" s="407"/>
      <c r="AE6" s="407"/>
      <c r="AF6" s="407"/>
      <c r="AG6" s="407"/>
      <c r="AH6" s="407"/>
      <c r="AI6" s="407"/>
      <c r="AJ6" s="407"/>
      <c r="AK6" s="407"/>
    </row>
    <row r="7" s="409" customFormat="1" ht="32" customHeight="1" spans="1:41">
      <c r="A7" s="424"/>
      <c r="B7" s="447">
        <f>$B$13</f>
        <v>267947.357144546</v>
      </c>
      <c r="C7" s="448" t="str">
        <f>$E$13*10&amp;" / "&amp;$F$13*10</f>
        <v>600 / 750</v>
      </c>
      <c r="D7" s="449">
        <f>$C$13/$F$13/1000</f>
        <v>3.355328</v>
      </c>
      <c r="E7" s="450">
        <f>$C$13</f>
        <v>251649.6</v>
      </c>
      <c r="F7" s="451">
        <f>C15</f>
        <v>247200</v>
      </c>
      <c r="G7" s="452">
        <f>资本金现金流!$E$27</f>
        <v>0.210528646760078</v>
      </c>
      <c r="H7" s="453">
        <f>资本金现金流!E28</f>
        <v>138383.907533205</v>
      </c>
      <c r="I7" s="454">
        <f>资本金现金流!E29</f>
        <v>5.9132682451442</v>
      </c>
      <c r="J7" s="455">
        <f>(销售收入!C6)/OperationPeriod</f>
        <v>37600.97544</v>
      </c>
      <c r="K7" s="456">
        <f>损益表!C14/H13</f>
        <v>21800.8384100417</v>
      </c>
      <c r="L7" s="457">
        <f>资金筹措!$F$8</f>
        <v>3315.46188032912</v>
      </c>
      <c r="M7" s="458">
        <f>损益表!C26/TotalInvestment/(OperationPeriod+ConstructPeriod)</f>
        <v>0.0917212534033223</v>
      </c>
      <c r="N7" s="459">
        <f>(损益表!C6-损益表!C9)/TotalInvestment/(OperationPeriod+ConstructPeriod)</f>
        <v>0.0853601383216422</v>
      </c>
      <c r="O7" s="459">
        <f>资产负债表!C32</f>
        <v>0.0768365999394503</v>
      </c>
      <c r="P7" s="460">
        <f>WACC</f>
        <v>0.06825</v>
      </c>
      <c r="Q7" s="461" t="s">
        <v>880</v>
      </c>
      <c r="R7" s="446"/>
      <c r="S7" s="446"/>
      <c r="T7" s="446"/>
      <c r="U7" s="407"/>
      <c r="V7" s="407"/>
      <c r="W7" s="407"/>
      <c r="X7" s="407"/>
      <c r="Y7" s="407"/>
      <c r="Z7" s="407"/>
      <c r="AA7" s="407"/>
      <c r="AB7" s="407"/>
      <c r="AC7" s="407"/>
      <c r="AD7" s="407"/>
      <c r="AE7" s="407"/>
      <c r="AF7" s="407"/>
      <c r="AG7" s="407"/>
      <c r="AH7" s="407"/>
      <c r="AI7" s="407"/>
      <c r="AJ7" s="407"/>
      <c r="AK7" s="407"/>
    </row>
    <row r="8" s="409" customFormat="1" ht="43" customHeight="1" spans="1:41">
      <c r="A8" s="424"/>
      <c r="B8" s="462" t="s">
        <v>881</v>
      </c>
      <c r="C8" s="463" t="s">
        <v>882</v>
      </c>
      <c r="D8" s="464" t="s">
        <v>883</v>
      </c>
      <c r="E8" s="465" t="s">
        <v>884</v>
      </c>
      <c r="F8" s="466" t="s">
        <v>885</v>
      </c>
      <c r="G8" s="467" t="s">
        <v>886</v>
      </c>
      <c r="H8" s="441" t="s">
        <v>887</v>
      </c>
      <c r="I8" s="468" t="s">
        <v>888</v>
      </c>
      <c r="J8" s="469" t="s">
        <v>889</v>
      </c>
      <c r="K8" s="470"/>
      <c r="L8" s="471" t="s">
        <v>890</v>
      </c>
      <c r="M8" s="472" t="s">
        <v>891</v>
      </c>
      <c r="N8" s="471" t="s">
        <v>892</v>
      </c>
      <c r="O8" s="471" t="s">
        <v>893</v>
      </c>
      <c r="P8" s="471" t="s">
        <v>894</v>
      </c>
      <c r="Q8" s="473" t="s">
        <v>895</v>
      </c>
      <c r="R8" s="446"/>
      <c r="S8" s="474"/>
      <c r="V8" s="407"/>
      <c r="W8" s="407"/>
      <c r="X8" s="407"/>
      <c r="Y8" s="407"/>
      <c r="Z8" s="407"/>
      <c r="AA8" s="407"/>
      <c r="AB8" s="407"/>
      <c r="AC8" s="407"/>
      <c r="AD8" s="407"/>
      <c r="AE8" s="407"/>
      <c r="AF8" s="407"/>
      <c r="AG8" s="407"/>
      <c r="AH8" s="407"/>
      <c r="AI8" s="407"/>
      <c r="AJ8" s="407"/>
    </row>
    <row r="9" s="409" customFormat="1" ht="24" customHeight="1" spans="1:41">
      <c r="A9" s="424"/>
      <c r="B9" s="475">
        <f>$I$13</f>
        <v>1545</v>
      </c>
      <c r="C9" s="476" t="str">
        <f>$E$18*100&amp;"% / "&amp;$D$18&amp;"小时"</f>
        <v>30% / 1小时</v>
      </c>
      <c r="D9" s="477">
        <f>IF($D$18=0,0,$B$18/$F$13/$D$18/$E$18/1000)</f>
        <v>0.704490321434076</v>
      </c>
      <c r="E9" s="478">
        <f>B18</f>
        <v>15851.0322322667</v>
      </c>
      <c r="F9" s="479">
        <f>E15</f>
        <v>15404.3073199871</v>
      </c>
      <c r="G9" s="480">
        <f>全部投资现金流!$E$27</f>
        <v>0.115992191541394</v>
      </c>
      <c r="H9" s="481">
        <f>全部投资现金流!E29</f>
        <v>107966.840539497</v>
      </c>
      <c r="I9" s="482">
        <f>全部投资现金流!E31</f>
        <v>8.67088661745293</v>
      </c>
      <c r="J9" s="483"/>
      <c r="K9" s="484"/>
      <c r="L9" s="485">
        <f>(M9-N9+O9-P9)/Q9</f>
        <v>0.229467264068717</v>
      </c>
      <c r="M9" s="486">
        <f>B13</f>
        <v>267947.357144546</v>
      </c>
      <c r="N9" s="487">
        <f>NPV(WACC,折旧!H22:AG22)</f>
        <v>7114.92356739822</v>
      </c>
      <c r="O9" s="487">
        <f>NPV(WACC,总成本!E17:AD17)+NPV(WACC,总成本!E20:AD20)</f>
        <v>78074.1802339389</v>
      </c>
      <c r="P9" s="487">
        <f>NPV(WACC,折旧!H21:AG21)</f>
        <v>59861.7980011151</v>
      </c>
      <c r="Q9" s="488">
        <f>NPV(WACC,销售收入!E11:AD11)+NPV(WACC,销售收入!E15:AD15)+NPV(WACC,销售收入!E19:AD19)+NPV(WACC,销售收入!E26:AD26)</f>
        <v>1216055.00872843</v>
      </c>
      <c r="R9" s="407"/>
      <c r="S9" s="407"/>
      <c r="T9" s="409"/>
      <c r="V9" s="407"/>
      <c r="W9" s="407"/>
      <c r="X9" s="407"/>
      <c r="Y9" s="407"/>
      <c r="Z9" s="407"/>
      <c r="AA9" s="407"/>
      <c r="AB9" s="407"/>
      <c r="AC9" s="407"/>
      <c r="AD9" s="407"/>
      <c r="AE9" s="407"/>
      <c r="AF9" s="407"/>
      <c r="AG9" s="407"/>
      <c r="AH9" s="407"/>
      <c r="AI9" s="407"/>
      <c r="AJ9" s="407"/>
    </row>
    <row r="10" s="409" customFormat="1" ht="25" customHeight="1" spans="1:41">
      <c r="A10" s="424"/>
      <c r="B10" s="489" t="s">
        <v>896</v>
      </c>
      <c r="C10" s="490"/>
      <c r="D10" s="490"/>
      <c r="E10" s="490"/>
      <c r="F10" s="490"/>
      <c r="G10" s="490"/>
      <c r="H10" s="490"/>
      <c r="I10" s="490"/>
      <c r="J10" s="491"/>
      <c r="K10" s="491"/>
      <c r="L10" s="491"/>
      <c r="M10" s="491"/>
      <c r="N10" s="490"/>
      <c r="O10" s="490"/>
      <c r="P10" s="491"/>
      <c r="Q10" s="492"/>
      <c r="R10" s="407"/>
      <c r="S10" s="407"/>
      <c r="T10" s="407"/>
      <c r="U10" s="407"/>
      <c r="V10" s="407"/>
      <c r="W10" s="407"/>
      <c r="X10" s="407"/>
      <c r="Y10" s="407"/>
      <c r="Z10" s="407"/>
      <c r="AA10" s="407"/>
      <c r="AB10" s="407"/>
      <c r="AC10" s="407"/>
      <c r="AD10" s="407"/>
      <c r="AE10" s="407"/>
      <c r="AF10" s="407"/>
      <c r="AG10" s="407"/>
      <c r="AH10" s="407"/>
      <c r="AI10" s="407"/>
      <c r="AJ10" s="407"/>
    </row>
    <row r="11" s="409" customFormat="1" ht="25" customHeight="1" spans="1:41">
      <c r="A11" s="424"/>
      <c r="B11" s="493" t="s">
        <v>897</v>
      </c>
      <c r="C11" s="494"/>
      <c r="D11" s="494"/>
      <c r="E11" s="494"/>
      <c r="F11" s="494"/>
      <c r="G11" s="494"/>
      <c r="H11" s="494"/>
      <c r="I11" s="495" t="s">
        <v>898</v>
      </c>
      <c r="J11" s="496"/>
      <c r="K11" s="496"/>
      <c r="L11" s="496"/>
      <c r="M11" s="496"/>
      <c r="N11" s="496"/>
      <c r="O11" s="496"/>
      <c r="P11" s="496"/>
      <c r="Q11" s="497"/>
      <c r="R11" s="407"/>
      <c r="S11" s="407"/>
      <c r="T11" s="407"/>
      <c r="U11" s="407"/>
      <c r="V11" s="407"/>
      <c r="W11" s="407"/>
      <c r="X11" s="407"/>
      <c r="Y11" s="407"/>
      <c r="Z11" s="407"/>
      <c r="AA11" s="407"/>
      <c r="AB11" s="407"/>
      <c r="AC11" s="407"/>
      <c r="AD11" s="407"/>
      <c r="AE11" s="407"/>
      <c r="AF11" s="407"/>
      <c r="AG11" s="407"/>
      <c r="AH11" s="407"/>
      <c r="AI11" s="407"/>
    </row>
    <row r="12" s="409" customFormat="1" ht="49" customHeight="1" spans="1:41">
      <c r="A12" s="424"/>
      <c r="B12" s="498" t="s">
        <v>865</v>
      </c>
      <c r="C12" s="498" t="s">
        <v>899</v>
      </c>
      <c r="D12" s="444" t="s">
        <v>900</v>
      </c>
      <c r="E12" s="433" t="str">
        <f>"交流侧容量
（万千瓦）
容配比 "&amp;TEXT($F$13/$E$13,"#.##")</f>
        <v>交流侧容量
（万千瓦）
容配比 1.25</v>
      </c>
      <c r="F12" s="499" t="s">
        <v>901</v>
      </c>
      <c r="G12" s="500" t="s">
        <v>902</v>
      </c>
      <c r="H12" s="499" t="s">
        <v>903</v>
      </c>
      <c r="I12" s="501" t="s">
        <v>881</v>
      </c>
      <c r="J12" s="444" t="s">
        <v>904</v>
      </c>
      <c r="K12" s="444" t="s">
        <v>905</v>
      </c>
      <c r="L12" s="444" t="s">
        <v>906</v>
      </c>
      <c r="M12" s="444" t="s">
        <v>907</v>
      </c>
      <c r="N12" s="502" t="s">
        <v>908</v>
      </c>
      <c r="O12" s="444" t="s">
        <v>909</v>
      </c>
      <c r="P12" s="444" t="s">
        <v>910</v>
      </c>
      <c r="Q12" s="503" t="s">
        <v>911</v>
      </c>
      <c r="R12" s="407"/>
      <c r="S12" s="407"/>
      <c r="T12" s="407"/>
      <c r="U12" s="407"/>
      <c r="V12" s="407"/>
      <c r="W12" s="407"/>
      <c r="X12" s="407"/>
      <c r="Y12" s="407"/>
      <c r="Z12" s="407"/>
      <c r="AA12" s="407"/>
      <c r="AB12" s="407"/>
      <c r="AC12" s="407"/>
      <c r="AD12" s="407"/>
      <c r="AE12" s="407"/>
      <c r="AF12" s="407"/>
      <c r="AG12" s="407"/>
      <c r="AH12" s="407"/>
      <c r="AI12" s="407"/>
    </row>
    <row r="13" s="409" customFormat="1" ht="36" customHeight="1" spans="1:41">
      <c r="A13" s="424"/>
      <c r="B13" s="504">
        <f>C13+B18+D15</f>
        <v>267947.357144546</v>
      </c>
      <c r="C13" s="505">
        <f>C15+B15</f>
        <v>251649.6</v>
      </c>
      <c r="D13" s="506">
        <v>1</v>
      </c>
      <c r="E13" s="507">
        <v>60</v>
      </c>
      <c r="F13" s="508">
        <v>75</v>
      </c>
      <c r="G13" s="509">
        <v>1</v>
      </c>
      <c r="H13" s="510">
        <v>25</v>
      </c>
      <c r="I13" s="511">
        <v>1545</v>
      </c>
      <c r="J13" s="512">
        <f>I13*(1+$R$33)*(1+$Q$15)</f>
        <v>1529.55</v>
      </c>
      <c r="K13" s="513">
        <v>1545</v>
      </c>
      <c r="L13" s="514">
        <f>IF(I13=0,0,IF(J13-K13&gt;N13,K13,K13-(N13-(J13-K13))))</f>
        <v>1424.55</v>
      </c>
      <c r="M13" s="515">
        <v>0</v>
      </c>
      <c r="N13" s="516">
        <f>I18*E18</f>
        <v>105</v>
      </c>
      <c r="O13" s="517">
        <f>IF(J13-K13-N13&gt;0,IF(J13-K13-N13&gt;J13-K13,J13-K13,J13-K13-N13),0)</f>
        <v>0</v>
      </c>
      <c r="P13" s="518">
        <f>IF(J13-K13&gt;N13,J13-K13-N13-O13,0)</f>
        <v>0</v>
      </c>
      <c r="Q13" s="519">
        <v>0</v>
      </c>
      <c r="R13" s="407"/>
      <c r="S13" s="407"/>
      <c r="T13" s="407"/>
      <c r="U13" s="407"/>
      <c r="V13" s="407"/>
      <c r="W13" s="407"/>
      <c r="X13" s="407"/>
      <c r="Y13" s="407"/>
      <c r="Z13" s="407"/>
      <c r="AA13" s="407"/>
      <c r="AB13" s="407"/>
      <c r="AC13" s="407"/>
      <c r="AD13" s="407"/>
      <c r="AE13" s="407"/>
      <c r="AF13" s="407"/>
      <c r="AG13" s="407"/>
      <c r="AH13" s="407"/>
      <c r="AI13" s="407"/>
    </row>
    <row r="14" s="409" customFormat="1" ht="47" customHeight="1" spans="1:41">
      <c r="A14" s="424"/>
      <c r="B14" s="520" t="s">
        <v>912</v>
      </c>
      <c r="C14" s="521" t="s">
        <v>913</v>
      </c>
      <c r="D14" s="520" t="s">
        <v>914</v>
      </c>
      <c r="E14" s="522" t="s">
        <v>915</v>
      </c>
      <c r="F14" s="523" t="s">
        <v>916</v>
      </c>
      <c r="G14" s="444" t="s">
        <v>917</v>
      </c>
      <c r="H14" s="524" t="s">
        <v>918</v>
      </c>
      <c r="I14" s="525" t="s">
        <v>919</v>
      </c>
      <c r="J14" s="502" t="s">
        <v>920</v>
      </c>
      <c r="K14" s="526" t="s">
        <v>921</v>
      </c>
      <c r="L14" s="444" t="s">
        <v>922</v>
      </c>
      <c r="M14" s="527" t="s">
        <v>923</v>
      </c>
      <c r="N14" s="528" t="s">
        <v>924</v>
      </c>
      <c r="O14" s="444" t="s">
        <v>925</v>
      </c>
      <c r="P14" s="444" t="s">
        <v>926</v>
      </c>
      <c r="Q14" s="503" t="s">
        <v>927</v>
      </c>
      <c r="R14" s="407"/>
      <c r="S14" s="407"/>
      <c r="T14" s="446"/>
      <c r="U14" s="407"/>
      <c r="V14" s="407"/>
      <c r="W14" s="407"/>
      <c r="X14" s="407"/>
      <c r="Y14" s="407"/>
      <c r="Z14" s="407"/>
      <c r="AA14" s="407"/>
      <c r="AB14" s="407"/>
      <c r="AC14" s="407"/>
      <c r="AD14" s="407"/>
      <c r="AE14" s="407"/>
      <c r="AF14" s="407"/>
      <c r="AG14" s="407"/>
      <c r="AH14" s="407"/>
      <c r="AI14" s="407"/>
    </row>
    <row r="15" s="409" customFormat="1" ht="36" customHeight="1" spans="1:41">
      <c r="A15" s="424"/>
      <c r="B15" s="529">
        <f>C15*MID(B14,16,4)</f>
        <v>4449.6</v>
      </c>
      <c r="C15" s="530">
        <v>247200</v>
      </c>
      <c r="D15" s="505">
        <f>E15*MID(D14,16,4)</f>
        <v>446.724912279625</v>
      </c>
      <c r="E15" s="447">
        <f>$B$18*(1+$P$33)/(1+MID($D$14,16,4))</f>
        <v>15404.3073199871</v>
      </c>
      <c r="F15" s="531">
        <v>1</v>
      </c>
      <c r="G15" s="532">
        <v>25</v>
      </c>
      <c r="H15" s="533">
        <f>L15*L13/J13+N15*N13/J13+O15*O13/J13+P15*P13/J13</f>
        <v>0.35</v>
      </c>
      <c r="I15" s="534">
        <v>0.35</v>
      </c>
      <c r="J15" s="534">
        <v>0.35</v>
      </c>
      <c r="K15" s="535">
        <f>I15-J15</f>
        <v>0</v>
      </c>
      <c r="L15" s="536">
        <f>J15*(1-M15)*(1+$Q$33)+K15-M13-Q13</f>
        <v>0.35</v>
      </c>
      <c r="M15" s="537">
        <v>0</v>
      </c>
      <c r="N15" s="533">
        <f>L15</f>
        <v>0.35</v>
      </c>
      <c r="O15" s="534">
        <v>0.35</v>
      </c>
      <c r="P15" s="534">
        <v>0.35</v>
      </c>
      <c r="Q15" s="538">
        <v>0</v>
      </c>
      <c r="R15" s="539"/>
      <c r="S15" s="407"/>
      <c r="T15" s="407"/>
      <c r="U15" s="407"/>
      <c r="V15" s="407"/>
      <c r="W15" s="407"/>
      <c r="X15" s="407"/>
      <c r="Y15" s="407"/>
      <c r="Z15" s="407"/>
      <c r="AA15" s="407"/>
      <c r="AB15" s="407"/>
      <c r="AC15" s="407"/>
      <c r="AD15" s="407"/>
      <c r="AE15" s="407"/>
      <c r="AF15" s="407"/>
      <c r="AG15" s="407"/>
      <c r="AH15" s="407"/>
      <c r="AI15" s="407"/>
    </row>
    <row r="16" s="409" customFormat="1" ht="19" customHeight="1" spans="1:41">
      <c r="A16" s="424"/>
      <c r="B16" s="540" t="s">
        <v>928</v>
      </c>
      <c r="C16" s="541"/>
      <c r="D16" s="541"/>
      <c r="E16" s="541"/>
      <c r="F16" s="541"/>
      <c r="G16" s="541"/>
      <c r="H16" s="541"/>
      <c r="I16" s="541"/>
      <c r="J16" s="541"/>
      <c r="K16" s="541"/>
      <c r="L16" s="541"/>
      <c r="M16" s="541"/>
      <c r="N16" s="541"/>
      <c r="O16" s="541"/>
      <c r="P16" s="542"/>
      <c r="Q16" s="543"/>
      <c r="R16" s="407"/>
      <c r="S16" s="544"/>
      <c r="T16" s="407"/>
      <c r="U16" s="407"/>
      <c r="V16" s="407"/>
      <c r="W16" s="407"/>
      <c r="X16" s="407"/>
      <c r="Y16" s="407"/>
      <c r="Z16" s="407"/>
      <c r="AA16" s="407"/>
      <c r="AB16" s="407"/>
      <c r="AC16" s="407"/>
      <c r="AD16" s="407"/>
      <c r="AE16" s="407"/>
      <c r="AF16" s="407"/>
      <c r="AG16" s="407"/>
      <c r="AH16" s="407"/>
      <c r="AI16" s="407"/>
      <c r="AJ16" s="407"/>
    </row>
    <row r="17" s="409" customFormat="1" ht="53" customHeight="1" spans="1:36">
      <c r="A17" s="424"/>
      <c r="B17" s="545" t="s">
        <v>929</v>
      </c>
      <c r="C17" s="546" t="s">
        <v>930</v>
      </c>
      <c r="D17" s="441" t="s">
        <v>931</v>
      </c>
      <c r="E17" s="441" t="s">
        <v>932</v>
      </c>
      <c r="F17" s="441" t="s">
        <v>933</v>
      </c>
      <c r="G17" s="441" t="s">
        <v>934</v>
      </c>
      <c r="H17" s="546" t="s">
        <v>935</v>
      </c>
      <c r="I17" s="441" t="s">
        <v>936</v>
      </c>
      <c r="J17" s="441" t="s">
        <v>937</v>
      </c>
      <c r="K17" s="441" t="s">
        <v>938</v>
      </c>
      <c r="L17" s="546" t="s">
        <v>939</v>
      </c>
      <c r="M17" s="441" t="s">
        <v>940</v>
      </c>
      <c r="N17" s="441" t="s">
        <v>941</v>
      </c>
      <c r="O17" s="441" t="s">
        <v>942</v>
      </c>
      <c r="P17" s="443" t="s">
        <v>943</v>
      </c>
      <c r="Q17" s="528" t="s">
        <v>944</v>
      </c>
      <c r="R17" s="407"/>
      <c r="S17" s="547"/>
      <c r="T17" s="407"/>
      <c r="U17" s="407"/>
      <c r="V17" s="407"/>
      <c r="W17" s="407"/>
      <c r="X17" s="407"/>
      <c r="Y17" s="407"/>
      <c r="Z17" s="407"/>
      <c r="AA17" s="407"/>
      <c r="AB17" s="407"/>
      <c r="AC17" s="407"/>
      <c r="AD17" s="407"/>
      <c r="AE17" s="407"/>
      <c r="AF17" s="407"/>
      <c r="AG17" s="407"/>
      <c r="AH17" s="407"/>
      <c r="AI17" s="407"/>
      <c r="AJ17" s="407"/>
    </row>
    <row r="18" s="409" customFormat="1" ht="36" customHeight="1" spans="1:36">
      <c r="A18" s="424"/>
      <c r="B18" s="548">
        <f>E13*C18*D18*E18*1000+M18</f>
        <v>15851.0322322667</v>
      </c>
      <c r="C18" s="549">
        <v>0.8</v>
      </c>
      <c r="D18" s="550">
        <v>1</v>
      </c>
      <c r="E18" s="551">
        <v>0.3</v>
      </c>
      <c r="F18" s="552">
        <v>350</v>
      </c>
      <c r="G18" s="552" t="s">
        <v>945</v>
      </c>
      <c r="H18" s="552">
        <v>6000</v>
      </c>
      <c r="I18" s="553">
        <f>F18*D18</f>
        <v>350</v>
      </c>
      <c r="J18" s="554">
        <f>IF(D18=0,0,H13/(H18/I18))</f>
        <v>1.45833333333333</v>
      </c>
      <c r="K18" s="555">
        <v>0.25</v>
      </c>
      <c r="L18" s="553">
        <f>E13*K18*D18*E18*1000</f>
        <v>4500</v>
      </c>
      <c r="M18" s="553">
        <f>IF(D18=0,0,L18*INT(J18)/((1+WACC)^(H18/I18))+L18*(INT(J18)-1)/((1+WACC)^OperationPeriod))</f>
        <v>1451.0322322667</v>
      </c>
      <c r="N18" s="556">
        <f>N15</f>
        <v>0.35</v>
      </c>
      <c r="O18" s="557">
        <v>0.85</v>
      </c>
      <c r="P18" s="551">
        <v>0.85</v>
      </c>
      <c r="Q18" s="558">
        <v>0</v>
      </c>
      <c r="R18" s="407"/>
      <c r="S18" s="544"/>
      <c r="T18" s="407"/>
      <c r="U18" s="407"/>
      <c r="V18" s="407"/>
      <c r="W18" s="407"/>
      <c r="X18" s="407"/>
      <c r="Y18" s="407"/>
      <c r="Z18" s="407"/>
      <c r="AA18" s="407"/>
      <c r="AB18" s="407"/>
      <c r="AC18" s="407"/>
      <c r="AD18" s="407"/>
      <c r="AE18" s="407"/>
      <c r="AF18" s="407"/>
      <c r="AG18" s="407"/>
      <c r="AH18" s="407"/>
      <c r="AI18" s="407"/>
      <c r="AJ18" s="407"/>
    </row>
    <row r="19" s="409" customFormat="1" ht="49" customHeight="1" spans="1:36">
      <c r="A19" s="424"/>
      <c r="B19" s="559" t="s">
        <v>946</v>
      </c>
      <c r="C19" s="560"/>
      <c r="D19" s="560"/>
      <c r="E19" s="560"/>
      <c r="F19" s="561"/>
      <c r="G19" s="540" t="s">
        <v>947</v>
      </c>
      <c r="H19" s="562"/>
      <c r="I19" s="562"/>
      <c r="J19" s="562"/>
      <c r="K19" s="562"/>
      <c r="L19" s="540" t="s">
        <v>948</v>
      </c>
      <c r="M19" s="563"/>
      <c r="N19" s="540" t="s">
        <v>949</v>
      </c>
      <c r="O19" s="563"/>
      <c r="P19" s="540" t="s">
        <v>950</v>
      </c>
      <c r="Q19" s="563"/>
      <c r="R19" s="407"/>
      <c r="S19" s="544"/>
      <c r="T19" s="407"/>
      <c r="U19" s="407"/>
      <c r="V19" s="407"/>
      <c r="W19" s="407"/>
      <c r="X19" s="407"/>
      <c r="Y19" s="407"/>
      <c r="Z19" s="407"/>
      <c r="AA19" s="407"/>
      <c r="AB19" s="407"/>
      <c r="AC19" s="407"/>
      <c r="AD19" s="407"/>
      <c r="AE19" s="407"/>
      <c r="AF19" s="407"/>
      <c r="AG19" s="407"/>
      <c r="AH19" s="407"/>
      <c r="AI19" s="407"/>
      <c r="AJ19" s="407"/>
    </row>
    <row r="20" s="409" customFormat="1" ht="36" customHeight="1" spans="1:36">
      <c r="A20" s="424"/>
      <c r="B20" s="564" t="s">
        <v>951</v>
      </c>
      <c r="C20" s="564" t="s">
        <v>952</v>
      </c>
      <c r="D20" s="525" t="s">
        <v>953</v>
      </c>
      <c r="E20" s="525" t="s">
        <v>954</v>
      </c>
      <c r="F20" s="525" t="s">
        <v>955</v>
      </c>
      <c r="G20" s="524" t="s">
        <v>956</v>
      </c>
      <c r="H20" s="524" t="s">
        <v>957</v>
      </c>
      <c r="I20" s="528" t="s">
        <v>958</v>
      </c>
      <c r="J20" s="528" t="s">
        <v>959</v>
      </c>
      <c r="K20" s="528" t="s">
        <v>207</v>
      </c>
      <c r="L20" s="525" t="s">
        <v>960</v>
      </c>
      <c r="M20" s="525" t="s">
        <v>961</v>
      </c>
      <c r="N20" s="565" t="s">
        <v>962</v>
      </c>
      <c r="O20" s="566" t="s">
        <v>963</v>
      </c>
      <c r="P20" s="566" t="s">
        <v>964</v>
      </c>
      <c r="Q20" s="566" t="s">
        <v>965</v>
      </c>
      <c r="R20" s="407"/>
      <c r="S20" s="544"/>
      <c r="T20" s="407"/>
      <c r="U20" s="407"/>
      <c r="V20" s="407"/>
      <c r="W20" s="407"/>
      <c r="X20" s="407"/>
      <c r="Y20" s="407"/>
      <c r="Z20" s="407"/>
      <c r="AA20" s="407"/>
      <c r="AB20" s="407"/>
      <c r="AC20" s="407"/>
      <c r="AD20" s="407"/>
      <c r="AE20" s="407"/>
      <c r="AF20" s="407"/>
      <c r="AG20" s="407"/>
      <c r="AH20" s="407"/>
      <c r="AI20" s="407"/>
      <c r="AJ20" s="407"/>
    </row>
    <row r="21" s="409" customFormat="1" ht="36" customHeight="1" spans="1:36">
      <c r="A21" s="424"/>
      <c r="B21" s="506">
        <v>1.3</v>
      </c>
      <c r="C21" s="506">
        <v>1</v>
      </c>
      <c r="D21" s="567">
        <f>IF($B$24=1,ROUND(B21*IF(type=1,F13/5,F13/5*3),0),ROUND(C21*IF(type=1,F13/5,F13/5*3),0))</f>
        <v>20</v>
      </c>
      <c r="E21" s="568">
        <v>15.62</v>
      </c>
      <c r="F21" s="569">
        <v>0.6</v>
      </c>
      <c r="G21" s="509">
        <v>1232.7</v>
      </c>
      <c r="H21" s="570">
        <v>180</v>
      </c>
      <c r="I21" s="571">
        <v>7</v>
      </c>
      <c r="J21" s="572">
        <f>272</f>
        <v>272</v>
      </c>
      <c r="K21" s="573">
        <f>G21*J21/10000</f>
        <v>33.52944</v>
      </c>
      <c r="L21" s="574">
        <v>0</v>
      </c>
      <c r="M21" s="575">
        <v>0.01</v>
      </c>
      <c r="N21" s="576">
        <v>0.01</v>
      </c>
      <c r="O21" s="576">
        <v>0.004</v>
      </c>
      <c r="P21" s="577">
        <f>I13</f>
        <v>1545</v>
      </c>
      <c r="Q21" s="577">
        <f>$P$21*(1+(1-$N$21)+(1-$N$21)*(1-$O$21)*(1-(1-$O$21)^($H$13-2))/$O$21)/$H$13</f>
        <v>1464.56343958868</v>
      </c>
      <c r="R21" s="407"/>
      <c r="S21" s="578"/>
      <c r="T21" s="407"/>
      <c r="U21" s="407"/>
      <c r="V21" s="407"/>
      <c r="W21" s="407"/>
      <c r="X21" s="407"/>
      <c r="Y21" s="407"/>
      <c r="Z21" s="407"/>
      <c r="AA21" s="407"/>
      <c r="AB21" s="407"/>
      <c r="AC21" s="407"/>
      <c r="AD21" s="407"/>
      <c r="AE21" s="407"/>
      <c r="AF21" s="407"/>
      <c r="AG21" s="407"/>
      <c r="AH21" s="407"/>
      <c r="AI21" s="407"/>
      <c r="AJ21" s="407"/>
    </row>
    <row r="22" s="409" customFormat="1" ht="21" customHeight="1" spans="1:36">
      <c r="A22" s="424"/>
      <c r="B22" s="579" t="s">
        <v>966</v>
      </c>
      <c r="C22" s="580"/>
      <c r="D22" s="581"/>
      <c r="E22" s="582" t="s">
        <v>967</v>
      </c>
      <c r="F22" s="583"/>
      <c r="G22" s="583"/>
      <c r="H22" s="583"/>
      <c r="I22" s="583"/>
      <c r="J22" s="583"/>
      <c r="K22" s="584"/>
      <c r="L22" s="585" t="s">
        <v>968</v>
      </c>
      <c r="M22" s="585"/>
      <c r="N22" s="585"/>
      <c r="O22" s="585"/>
      <c r="P22" s="585"/>
      <c r="Q22" s="586"/>
      <c r="R22" s="407"/>
      <c r="S22" s="407"/>
      <c r="T22" s="407"/>
      <c r="U22" s="407"/>
      <c r="V22" s="407"/>
      <c r="W22" s="407"/>
      <c r="X22" s="407"/>
      <c r="Y22" s="407"/>
      <c r="Z22" s="407"/>
      <c r="AA22" s="407"/>
      <c r="AB22" s="407"/>
      <c r="AC22" s="407"/>
      <c r="AD22" s="407"/>
      <c r="AE22" s="407"/>
      <c r="AF22" s="407"/>
      <c r="AG22" s="407"/>
      <c r="AH22" s="407"/>
      <c r="AI22" s="407"/>
      <c r="AJ22" s="407"/>
    </row>
    <row r="23" s="409" customFormat="1" ht="41" customHeight="1" spans="1:36">
      <c r="A23" s="424"/>
      <c r="B23" s="525" t="s">
        <v>969</v>
      </c>
      <c r="C23" s="587" t="s">
        <v>970</v>
      </c>
      <c r="D23" s="588" t="s">
        <v>971</v>
      </c>
      <c r="E23" s="444" t="s">
        <v>972</v>
      </c>
      <c r="F23" s="589" t="s">
        <v>973</v>
      </c>
      <c r="G23" s="590" t="s">
        <v>974</v>
      </c>
      <c r="H23" s="525" t="s">
        <v>975</v>
      </c>
      <c r="I23" s="525" t="s">
        <v>976</v>
      </c>
      <c r="J23" s="591" t="s">
        <v>977</v>
      </c>
      <c r="K23" s="591" t="s">
        <v>978</v>
      </c>
      <c r="L23" s="592" t="s">
        <v>973</v>
      </c>
      <c r="M23" s="590" t="s">
        <v>974</v>
      </c>
      <c r="N23" s="525" t="s">
        <v>975</v>
      </c>
      <c r="O23" s="525" t="s">
        <v>976</v>
      </c>
      <c r="P23" s="591" t="s">
        <v>977</v>
      </c>
      <c r="Q23" s="591" t="s">
        <v>978</v>
      </c>
      <c r="R23" s="407"/>
      <c r="S23" s="407"/>
      <c r="T23" s="407"/>
      <c r="U23" s="407"/>
      <c r="V23" s="407"/>
      <c r="W23" s="407"/>
      <c r="X23" s="407"/>
      <c r="Y23" s="407"/>
      <c r="Z23" s="407"/>
      <c r="AA23" s="407"/>
      <c r="AB23" s="407"/>
      <c r="AC23" s="407"/>
      <c r="AD23" s="407"/>
      <c r="AE23" s="407"/>
      <c r="AF23" s="407"/>
      <c r="AG23" s="407"/>
      <c r="AH23" s="407"/>
      <c r="AI23" s="407"/>
      <c r="AJ23" s="407"/>
    </row>
    <row r="24" s="409" customFormat="1" ht="36" customHeight="1" spans="1:36">
      <c r="A24" s="424"/>
      <c r="B24" s="593">
        <v>1</v>
      </c>
      <c r="C24" s="550">
        <v>0</v>
      </c>
      <c r="D24" s="550">
        <v>1</v>
      </c>
      <c r="E24" s="550">
        <v>0</v>
      </c>
      <c r="F24" s="506">
        <v>0.225</v>
      </c>
      <c r="G24" s="558">
        <v>0.47</v>
      </c>
      <c r="H24" s="594">
        <v>0.262</v>
      </c>
      <c r="I24" s="550">
        <v>2.081</v>
      </c>
      <c r="J24" s="595">
        <v>30</v>
      </c>
      <c r="K24" s="595">
        <v>50</v>
      </c>
      <c r="L24" s="596">
        <v>10</v>
      </c>
      <c r="M24" s="596">
        <v>10</v>
      </c>
      <c r="N24" s="558">
        <v>4</v>
      </c>
      <c r="O24" s="558">
        <v>9.2</v>
      </c>
      <c r="P24" s="595">
        <v>3</v>
      </c>
      <c r="Q24" s="595">
        <v>8.5</v>
      </c>
      <c r="R24" s="407"/>
      <c r="S24" s="407"/>
      <c r="T24" s="407"/>
      <c r="U24" s="407"/>
      <c r="V24" s="407"/>
      <c r="W24" s="407"/>
      <c r="X24" s="407"/>
      <c r="Y24" s="407"/>
      <c r="Z24" s="407"/>
      <c r="AA24" s="407"/>
      <c r="AB24" s="407"/>
      <c r="AC24" s="407"/>
      <c r="AD24" s="407"/>
      <c r="AE24" s="407"/>
      <c r="AF24" s="407"/>
      <c r="AG24" s="407"/>
      <c r="AH24" s="407"/>
      <c r="AI24" s="407"/>
      <c r="AJ24" s="407"/>
    </row>
    <row r="25" s="409" customFormat="1" ht="36" customHeight="1" spans="1:36">
      <c r="A25" s="424"/>
      <c r="B25" s="597" t="s">
        <v>979</v>
      </c>
      <c r="C25" s="598"/>
      <c r="D25" s="599"/>
      <c r="E25" s="600" t="s">
        <v>980</v>
      </c>
      <c r="F25" s="601"/>
      <c r="G25" s="601"/>
      <c r="H25" s="601"/>
      <c r="I25" s="601"/>
      <c r="J25" s="601"/>
      <c r="K25" s="602"/>
      <c r="L25" s="540" t="s">
        <v>981</v>
      </c>
      <c r="M25" s="562"/>
      <c r="N25" s="562"/>
      <c r="O25" s="562"/>
      <c r="P25" s="562"/>
      <c r="Q25" s="563"/>
      <c r="R25" s="407"/>
      <c r="S25" s="407"/>
      <c r="T25" s="407"/>
      <c r="U25" s="407"/>
      <c r="V25" s="407"/>
      <c r="W25" s="407"/>
      <c r="X25" s="407"/>
      <c r="Y25" s="407"/>
      <c r="Z25" s="407"/>
      <c r="AA25" s="407"/>
      <c r="AB25" s="407"/>
      <c r="AC25" s="407"/>
      <c r="AD25" s="407"/>
      <c r="AE25" s="407"/>
      <c r="AF25" s="407"/>
      <c r="AG25" s="407"/>
      <c r="AH25" s="407"/>
      <c r="AI25" s="407"/>
      <c r="AJ25" s="407"/>
    </row>
    <row r="26" s="409" customFormat="1" ht="36" customHeight="1" spans="1:36">
      <c r="A26" s="424"/>
      <c r="B26" s="603" t="s">
        <v>982</v>
      </c>
      <c r="C26" s="603" t="s">
        <v>983</v>
      </c>
      <c r="D26" s="604" t="s">
        <v>984</v>
      </c>
      <c r="E26" s="525" t="s">
        <v>972</v>
      </c>
      <c r="F26" s="605" t="s">
        <v>973</v>
      </c>
      <c r="G26" s="590" t="s">
        <v>974</v>
      </c>
      <c r="H26" s="525" t="s">
        <v>975</v>
      </c>
      <c r="I26" s="525" t="s">
        <v>976</v>
      </c>
      <c r="J26" s="591" t="s">
        <v>977</v>
      </c>
      <c r="K26" s="591" t="s">
        <v>985</v>
      </c>
      <c r="L26" s="592" t="s">
        <v>973</v>
      </c>
      <c r="M26" s="590" t="s">
        <v>974</v>
      </c>
      <c r="N26" s="525" t="s">
        <v>975</v>
      </c>
      <c r="O26" s="525" t="s">
        <v>976</v>
      </c>
      <c r="P26" s="591" t="s">
        <v>977</v>
      </c>
      <c r="Q26" s="591" t="s">
        <v>978</v>
      </c>
      <c r="S26" s="407"/>
      <c r="T26" s="407"/>
      <c r="U26" s="407"/>
      <c r="V26" s="407"/>
      <c r="W26" s="407"/>
      <c r="X26" s="407"/>
      <c r="Y26" s="407"/>
      <c r="Z26" s="407"/>
      <c r="AA26" s="407"/>
      <c r="AB26" s="407"/>
      <c r="AC26" s="407"/>
      <c r="AD26" s="407"/>
      <c r="AE26" s="407"/>
      <c r="AF26" s="407"/>
      <c r="AG26" s="407"/>
      <c r="AH26" s="407"/>
      <c r="AI26" s="407"/>
      <c r="AJ26" s="407"/>
    </row>
    <row r="27" s="409" customFormat="1" ht="36" customHeight="1" spans="1:36">
      <c r="A27" s="424"/>
      <c r="B27" s="550">
        <v>10</v>
      </c>
      <c r="C27" s="550">
        <v>0</v>
      </c>
      <c r="D27" s="554">
        <f>IF($B$24=1,ROUND(B27*IF(type=1,F13*E18/10,F13*E18/5*3),0),ROUND(C27*IF(type=1,F13*E18/10,F13*E18/10*3),0))</f>
        <v>23</v>
      </c>
      <c r="E27" s="550">
        <v>0</v>
      </c>
      <c r="F27" s="550">
        <v>0.225</v>
      </c>
      <c r="G27" s="596">
        <v>0.47</v>
      </c>
      <c r="H27" s="594">
        <v>0.262</v>
      </c>
      <c r="I27" s="550">
        <v>2.081</v>
      </c>
      <c r="J27" s="549">
        <v>30</v>
      </c>
      <c r="K27" s="549">
        <v>50</v>
      </c>
      <c r="L27" s="596">
        <v>4.5</v>
      </c>
      <c r="M27" s="596">
        <v>11.3</v>
      </c>
      <c r="N27" s="558">
        <v>5.24</v>
      </c>
      <c r="O27" s="558">
        <v>49.62</v>
      </c>
      <c r="P27" s="595">
        <v>15</v>
      </c>
      <c r="Q27" s="595">
        <v>28</v>
      </c>
      <c r="S27" s="407"/>
      <c r="T27" s="407"/>
      <c r="U27" s="407"/>
      <c r="V27" s="407"/>
      <c r="W27" s="407"/>
      <c r="X27" s="407"/>
      <c r="Y27" s="407"/>
      <c r="Z27" s="407"/>
      <c r="AA27" s="407"/>
      <c r="AB27" s="407"/>
      <c r="AC27" s="407"/>
      <c r="AD27" s="407"/>
      <c r="AE27" s="407"/>
      <c r="AF27" s="407"/>
      <c r="AG27" s="407"/>
      <c r="AH27" s="407"/>
      <c r="AI27" s="407"/>
      <c r="AJ27" s="407"/>
    </row>
    <row r="28" s="409" customFormat="1" ht="36" customHeight="1" spans="1:36">
      <c r="A28" s="424"/>
      <c r="B28" s="597" t="s">
        <v>986</v>
      </c>
      <c r="C28" s="598"/>
      <c r="D28" s="598"/>
      <c r="E28" s="598"/>
      <c r="F28" s="598"/>
      <c r="G28" s="598"/>
      <c r="H28" s="598"/>
      <c r="I28" s="598"/>
      <c r="J28" s="598"/>
      <c r="K28" s="598"/>
      <c r="L28" s="598"/>
      <c r="M28" s="599"/>
      <c r="N28" s="606" t="s">
        <v>987</v>
      </c>
      <c r="O28" s="606"/>
      <c r="P28" s="606"/>
      <c r="Q28" s="606"/>
      <c r="R28" s="607"/>
      <c r="S28" s="407"/>
      <c r="T28" s="407"/>
      <c r="U28" s="407"/>
      <c r="V28" s="407"/>
      <c r="W28" s="407"/>
      <c r="X28" s="407"/>
      <c r="Y28" s="407"/>
      <c r="Z28" s="407"/>
      <c r="AA28" s="407"/>
      <c r="AB28" s="407"/>
      <c r="AC28" s="407"/>
      <c r="AD28" s="407"/>
      <c r="AE28" s="407"/>
      <c r="AF28" s="407"/>
      <c r="AG28" s="407"/>
      <c r="AH28" s="407"/>
      <c r="AI28" s="407"/>
      <c r="AJ28" s="407"/>
    </row>
    <row r="29" s="409" customFormat="1" ht="36" customHeight="1" spans="1:36">
      <c r="A29" s="424"/>
      <c r="B29" s="525" t="s">
        <v>988</v>
      </c>
      <c r="C29" s="527" t="s">
        <v>989</v>
      </c>
      <c r="D29" s="525" t="s">
        <v>990</v>
      </c>
      <c r="E29" s="608" t="s">
        <v>792</v>
      </c>
      <c r="F29" s="609" t="s">
        <v>991</v>
      </c>
      <c r="G29" s="609" t="s">
        <v>992</v>
      </c>
      <c r="H29" s="604" t="s">
        <v>993</v>
      </c>
      <c r="I29" s="525" t="s">
        <v>994</v>
      </c>
      <c r="J29" s="610" t="s">
        <v>995</v>
      </c>
      <c r="K29" s="608" t="s">
        <v>996</v>
      </c>
      <c r="L29" s="525" t="s">
        <v>997</v>
      </c>
      <c r="M29" s="525" t="s">
        <v>998</v>
      </c>
      <c r="N29" s="525" t="s">
        <v>999</v>
      </c>
      <c r="O29" s="604" t="s">
        <v>1000</v>
      </c>
      <c r="P29" s="525" t="s">
        <v>1001</v>
      </c>
      <c r="Q29" s="604" t="s">
        <v>1002</v>
      </c>
      <c r="R29" s="611" t="s">
        <v>1003</v>
      </c>
      <c r="S29" s="407"/>
      <c r="T29" s="407"/>
      <c r="U29" s="407"/>
      <c r="V29" s="407"/>
      <c r="W29" s="407"/>
      <c r="X29" s="407"/>
      <c r="Y29" s="407"/>
      <c r="Z29" s="407"/>
      <c r="AA29" s="407"/>
      <c r="AB29" s="407"/>
      <c r="AC29" s="407"/>
      <c r="AD29" s="407"/>
      <c r="AE29" s="407"/>
      <c r="AF29" s="407"/>
      <c r="AG29" s="407"/>
      <c r="AH29" s="407"/>
      <c r="AI29" s="407"/>
      <c r="AJ29" s="407"/>
    </row>
    <row r="30" s="409" customFormat="1" ht="36" customHeight="1" spans="1:36">
      <c r="A30" s="424"/>
      <c r="B30" s="557">
        <v>0.1</v>
      </c>
      <c r="C30" s="612" t="s">
        <v>880</v>
      </c>
      <c r="D30" s="613">
        <v>10</v>
      </c>
      <c r="E30" s="557">
        <v>0.05</v>
      </c>
      <c r="F30" s="557">
        <v>0</v>
      </c>
      <c r="G30" s="557">
        <v>0</v>
      </c>
      <c r="H30" s="614">
        <v>0.12</v>
      </c>
      <c r="I30" s="615">
        <v>25</v>
      </c>
      <c r="J30" s="616" t="s">
        <v>880</v>
      </c>
      <c r="K30" s="617">
        <v>0.01</v>
      </c>
      <c r="L30" s="615">
        <v>10</v>
      </c>
      <c r="M30" s="615">
        <v>2</v>
      </c>
      <c r="N30" s="618">
        <v>0.0345</v>
      </c>
      <c r="O30" s="619">
        <v>15</v>
      </c>
      <c r="P30" s="620">
        <v>0.036</v>
      </c>
      <c r="Q30" s="557">
        <v>0.3</v>
      </c>
      <c r="R30" s="621">
        <v>2</v>
      </c>
      <c r="S30" s="407"/>
      <c r="T30" s="407"/>
      <c r="U30" s="407"/>
      <c r="V30" s="407"/>
      <c r="W30" s="407"/>
      <c r="X30" s="407"/>
      <c r="Y30" s="407"/>
      <c r="Z30" s="407"/>
      <c r="AA30" s="407"/>
      <c r="AB30" s="407"/>
      <c r="AC30" s="407"/>
      <c r="AD30" s="407"/>
      <c r="AE30" s="407"/>
      <c r="AF30" s="407"/>
      <c r="AG30" s="407"/>
      <c r="AH30" s="407"/>
      <c r="AI30" s="407"/>
      <c r="AJ30" s="407"/>
    </row>
    <row r="31" s="409" customFormat="1" ht="36" customHeight="1" spans="1:36">
      <c r="A31" s="424"/>
      <c r="B31" s="622" t="s">
        <v>1004</v>
      </c>
      <c r="C31" s="623"/>
      <c r="D31" s="623"/>
      <c r="E31" s="623"/>
      <c r="F31" s="623"/>
      <c r="G31" s="624" t="s">
        <v>1005</v>
      </c>
      <c r="H31" s="625"/>
      <c r="I31" s="626" t="s">
        <v>1006</v>
      </c>
      <c r="J31" s="627"/>
      <c r="K31" s="628" t="s">
        <v>1007</v>
      </c>
      <c r="L31" s="629"/>
      <c r="M31" s="630"/>
      <c r="N31" s="631" t="s">
        <v>1008</v>
      </c>
      <c r="O31" s="632"/>
      <c r="P31" s="628" t="s">
        <v>1009</v>
      </c>
      <c r="Q31" s="629"/>
      <c r="R31" s="630"/>
      <c r="S31" s="407"/>
      <c r="T31" s="407"/>
      <c r="U31" s="407"/>
      <c r="V31" s="407"/>
      <c r="W31" s="407"/>
      <c r="X31" s="407"/>
      <c r="Y31" s="407"/>
      <c r="Z31" s="407"/>
      <c r="AA31" s="407"/>
      <c r="AB31" s="407"/>
      <c r="AC31" s="407"/>
      <c r="AD31" s="407"/>
      <c r="AE31" s="407"/>
      <c r="AF31" s="407"/>
      <c r="AG31" s="407"/>
      <c r="AH31" s="407"/>
      <c r="AI31" s="407"/>
      <c r="AJ31" s="407"/>
    </row>
    <row r="32" s="409" customFormat="1" ht="36" customHeight="1" spans="1:36">
      <c r="A32" s="424"/>
      <c r="B32" s="444" t="s">
        <v>1010</v>
      </c>
      <c r="C32" s="633" t="s">
        <v>1011</v>
      </c>
      <c r="D32" s="633" t="s">
        <v>1012</v>
      </c>
      <c r="E32" s="634" t="s">
        <v>1013</v>
      </c>
      <c r="F32" s="635" t="s">
        <v>1014</v>
      </c>
      <c r="G32" s="525" t="s">
        <v>1015</v>
      </c>
      <c r="H32" s="525" t="s">
        <v>1016</v>
      </c>
      <c r="I32" s="636" t="s">
        <v>1017</v>
      </c>
      <c r="J32" s="636" t="s">
        <v>1018</v>
      </c>
      <c r="K32" s="604" t="s">
        <v>1019</v>
      </c>
      <c r="L32" s="604" t="s">
        <v>1020</v>
      </c>
      <c r="M32" s="528" t="s">
        <v>1021</v>
      </c>
      <c r="N32" s="637" t="s">
        <v>1022</v>
      </c>
      <c r="O32" s="638" t="s">
        <v>1023</v>
      </c>
      <c r="P32" s="525" t="s">
        <v>1024</v>
      </c>
      <c r="Q32" s="525" t="s">
        <v>1025</v>
      </c>
      <c r="R32" s="639" t="s">
        <v>1026</v>
      </c>
      <c r="S32" s="407"/>
      <c r="T32" s="407"/>
      <c r="U32" s="407"/>
      <c r="V32" s="407"/>
      <c r="W32" s="407"/>
      <c r="X32" s="407"/>
      <c r="Y32" s="407"/>
      <c r="Z32" s="407"/>
      <c r="AA32" s="407"/>
      <c r="AB32" s="407"/>
      <c r="AC32" s="407"/>
      <c r="AD32" s="407"/>
      <c r="AE32" s="407"/>
      <c r="AF32" s="407"/>
      <c r="AG32" s="407"/>
      <c r="AH32" s="407"/>
      <c r="AI32" s="407"/>
      <c r="AJ32" s="407"/>
    </row>
    <row r="33" s="409" customFormat="1" ht="36" customHeight="1" spans="1:41">
      <c r="A33" s="424"/>
      <c r="B33" s="640">
        <f>IF(Q30&gt;50%,0,IF(type=1,$F$13*MID($B$32,18,2),$F$13*MID($B$32,24,2)))</f>
        <v>1500</v>
      </c>
      <c r="C33" s="640">
        <f>资金筹措!F7+资金筹措!F8</f>
        <v>266447.357144546</v>
      </c>
      <c r="D33" s="640">
        <f>B13/F13</f>
        <v>3572.63142859395</v>
      </c>
      <c r="E33" s="621">
        <v>2448</v>
      </c>
      <c r="F33" s="641">
        <f>E33/D33</f>
        <v>0.685209221529868</v>
      </c>
      <c r="G33" s="642">
        <v>25</v>
      </c>
      <c r="H33" s="576">
        <v>0.05</v>
      </c>
      <c r="I33" s="643" t="s">
        <v>1027</v>
      </c>
      <c r="J33" s="644">
        <v>0.01</v>
      </c>
      <c r="K33" s="614">
        <v>0.001</v>
      </c>
      <c r="L33" s="614">
        <v>0.005</v>
      </c>
      <c r="M33" s="645">
        <v>0.1</v>
      </c>
      <c r="N33" s="646">
        <v>0</v>
      </c>
      <c r="O33" s="647">
        <v>0</v>
      </c>
      <c r="P33" s="648">
        <v>0</v>
      </c>
      <c r="Q33" s="648">
        <v>0</v>
      </c>
      <c r="R33" s="648">
        <v>-0.01</v>
      </c>
      <c r="S33" s="407"/>
      <c r="T33" s="407"/>
      <c r="U33" s="407"/>
      <c r="V33" s="407"/>
      <c r="W33" s="407"/>
      <c r="X33" s="407"/>
      <c r="Y33" s="407"/>
      <c r="Z33" s="407"/>
      <c r="AA33" s="407"/>
      <c r="AB33" s="407"/>
      <c r="AC33" s="407"/>
      <c r="AD33" s="407"/>
      <c r="AE33" s="407"/>
      <c r="AF33" s="407"/>
      <c r="AG33" s="407"/>
      <c r="AH33" s="407"/>
      <c r="AI33" s="407"/>
      <c r="AJ33" s="407"/>
    </row>
    <row r="34" s="408" customFormat="1" ht="14.25" customHeight="1" spans="1:41">
      <c r="A34" s="411"/>
      <c r="B34" s="411"/>
      <c r="C34" s="411"/>
      <c r="D34" s="411"/>
      <c r="E34" s="411"/>
      <c r="F34" s="411"/>
      <c r="G34" s="411"/>
      <c r="H34" s="411"/>
      <c r="I34" s="411"/>
      <c r="J34" s="411"/>
      <c r="K34" s="411"/>
      <c r="L34" s="411"/>
      <c r="M34" s="411"/>
      <c r="N34" s="411"/>
      <c r="O34" s="411"/>
      <c r="P34" s="411"/>
      <c r="Q34" s="411"/>
      <c r="R34" s="411"/>
      <c r="S34" s="411"/>
      <c r="T34" s="411"/>
      <c r="U34" s="411"/>
      <c r="V34" s="411"/>
      <c r="W34" s="411"/>
      <c r="X34" s="411"/>
      <c r="Y34" s="411"/>
      <c r="Z34" s="411"/>
      <c r="AA34" s="411"/>
      <c r="AB34" s="411"/>
      <c r="AC34" s="411"/>
      <c r="AD34" s="411"/>
      <c r="AE34" s="411"/>
      <c r="AF34" s="411"/>
      <c r="AG34" s="411"/>
      <c r="AH34" s="411"/>
      <c r="AI34" s="411"/>
      <c r="AJ34" s="411"/>
      <c r="AK34" s="411"/>
      <c r="AL34" s="411"/>
      <c r="AM34" s="411"/>
      <c r="AN34" s="411"/>
      <c r="AO34" s="411"/>
    </row>
    <row r="35" s="407" customFormat="1" ht="12.75"/>
    <row r="36" s="407" customFormat="1" ht="24.75" spans="1:41">
      <c r="B36" s="649" t="s">
        <v>1028</v>
      </c>
      <c r="C36" s="650"/>
      <c r="D36" s="650"/>
      <c r="E36" s="650"/>
      <c r="F36" s="650"/>
      <c r="G36" s="650"/>
      <c r="H36" s="650"/>
      <c r="I36" s="650"/>
      <c r="J36" s="650"/>
      <c r="K36" s="650"/>
      <c r="L36" s="650"/>
      <c r="M36" s="650"/>
      <c r="N36" s="651"/>
      <c r="P36" s="652" t="s">
        <v>1029</v>
      </c>
      <c r="Q36" s="653" t="s">
        <v>1030</v>
      </c>
    </row>
    <row r="37" s="407" customFormat="1" ht="12" spans="1:41">
      <c r="B37" s="654" t="s">
        <v>1031</v>
      </c>
      <c r="C37" s="655" t="s">
        <v>1032</v>
      </c>
      <c r="D37" s="411"/>
      <c r="E37" s="411"/>
      <c r="F37" s="411"/>
      <c r="G37" s="411"/>
      <c r="H37" s="411"/>
      <c r="I37" s="656"/>
      <c r="J37" s="655" t="s">
        <v>1033</v>
      </c>
      <c r="N37" s="657"/>
      <c r="P37" s="658" t="s">
        <v>1034</v>
      </c>
      <c r="Q37" s="658">
        <v>0.2772</v>
      </c>
      <c r="R37" s="659">
        <f t="shared" ref="R37:R68" si="0">Q37/$I$21</f>
        <v>0.0396</v>
      </c>
    </row>
    <row r="38" s="407" customFormat="1" ht="12" spans="1:41">
      <c r="B38" s="660"/>
      <c r="C38" s="661"/>
      <c r="D38" s="662"/>
      <c r="E38" s="662"/>
      <c r="F38" s="662"/>
      <c r="G38" s="662"/>
      <c r="H38" s="662"/>
      <c r="I38" s="663"/>
      <c r="J38" s="653">
        <v>2015</v>
      </c>
      <c r="K38" s="653">
        <v>2016</v>
      </c>
      <c r="L38" s="653">
        <v>2018</v>
      </c>
      <c r="M38" s="653">
        <v>2019</v>
      </c>
      <c r="N38" s="664">
        <v>2020</v>
      </c>
      <c r="P38" s="658" t="s">
        <v>1035</v>
      </c>
      <c r="Q38" s="658">
        <v>0.25</v>
      </c>
      <c r="R38" s="659">
        <f t="shared" si="0"/>
        <v>0.0357142857142857</v>
      </c>
    </row>
    <row r="39" s="407" customFormat="1" ht="58" customHeight="1" spans="1:41">
      <c r="B39" s="665" t="s">
        <v>1036</v>
      </c>
      <c r="C39" s="652" t="s">
        <v>1037</v>
      </c>
      <c r="D39" s="652"/>
      <c r="E39" s="652"/>
      <c r="F39" s="652"/>
      <c r="G39" s="652"/>
      <c r="H39" s="652"/>
      <c r="I39" s="652"/>
      <c r="J39" s="653">
        <v>0.51</v>
      </c>
      <c r="K39" s="653">
        <v>0.47</v>
      </c>
      <c r="L39" s="653">
        <v>0.4</v>
      </c>
      <c r="M39" s="653">
        <v>0.34</v>
      </c>
      <c r="N39" s="664">
        <v>0.29</v>
      </c>
      <c r="P39" s="658" t="s">
        <v>1038</v>
      </c>
      <c r="Q39" s="658">
        <v>0.3035</v>
      </c>
      <c r="R39" s="659">
        <f t="shared" si="0"/>
        <v>0.0433571428571429</v>
      </c>
    </row>
    <row r="40" s="407" customFormat="1" ht="67" customHeight="1" spans="1:41">
      <c r="B40" s="665" t="s">
        <v>1039</v>
      </c>
      <c r="C40" s="652" t="s">
        <v>1040</v>
      </c>
      <c r="D40" s="652"/>
      <c r="E40" s="652"/>
      <c r="F40" s="652"/>
      <c r="G40" s="652"/>
      <c r="H40" s="652"/>
      <c r="I40" s="652"/>
      <c r="J40" s="653">
        <v>0.54</v>
      </c>
      <c r="K40" s="666">
        <v>0.5</v>
      </c>
      <c r="L40" s="653">
        <v>0.45</v>
      </c>
      <c r="M40" s="653">
        <v>0.39</v>
      </c>
      <c r="N40" s="664">
        <v>0.34</v>
      </c>
      <c r="P40" s="658" t="s">
        <v>1041</v>
      </c>
      <c r="Q40" s="658">
        <v>0.3358</v>
      </c>
      <c r="R40" s="659">
        <f t="shared" si="0"/>
        <v>0.0479714285714286</v>
      </c>
    </row>
    <row r="41" s="407" customFormat="1" ht="72" customHeight="1" spans="1:41">
      <c r="B41" s="665" t="s">
        <v>1042</v>
      </c>
      <c r="C41" s="652" t="s">
        <v>1043</v>
      </c>
      <c r="D41" s="652"/>
      <c r="E41" s="652"/>
      <c r="F41" s="652"/>
      <c r="G41" s="652"/>
      <c r="H41" s="652"/>
      <c r="I41" s="652"/>
      <c r="J41" s="653">
        <v>0.58</v>
      </c>
      <c r="K41" s="653">
        <v>0.54</v>
      </c>
      <c r="L41" s="653">
        <v>0.49</v>
      </c>
      <c r="M41" s="653">
        <v>0.43</v>
      </c>
      <c r="N41" s="664">
        <v>0.38</v>
      </c>
      <c r="P41" s="658" t="s">
        <v>1044</v>
      </c>
      <c r="Q41" s="658">
        <v>0.3634</v>
      </c>
      <c r="R41" s="659">
        <f t="shared" si="0"/>
        <v>0.0519142857142857</v>
      </c>
    </row>
    <row r="42" s="407" customFormat="1" ht="12.75" spans="1:41">
      <c r="B42" s="667" t="s">
        <v>1045</v>
      </c>
      <c r="C42" s="668" t="s">
        <v>1046</v>
      </c>
      <c r="D42" s="668"/>
      <c r="E42" s="668"/>
      <c r="F42" s="668"/>
      <c r="G42" s="668"/>
      <c r="H42" s="668"/>
      <c r="I42" s="668"/>
      <c r="J42" s="669">
        <v>0.61</v>
      </c>
      <c r="K42" s="669">
        <v>0.6</v>
      </c>
      <c r="L42" s="669">
        <v>0.57</v>
      </c>
      <c r="M42" s="669">
        <v>0.52</v>
      </c>
      <c r="N42" s="670">
        <v>0.47</v>
      </c>
      <c r="P42" s="658" t="s">
        <v>1047</v>
      </c>
      <c r="Q42" s="658">
        <v>0.2978</v>
      </c>
      <c r="R42" s="659">
        <f t="shared" si="0"/>
        <v>0.0425428571428571</v>
      </c>
    </row>
    <row r="43" s="407" customFormat="1" ht="12.75" spans="1:41">
      <c r="B43" s="412"/>
      <c r="P43" s="658" t="s">
        <v>1048</v>
      </c>
      <c r="Q43" s="658">
        <v>0.3717</v>
      </c>
      <c r="R43" s="659">
        <f t="shared" si="0"/>
        <v>0.0531</v>
      </c>
    </row>
    <row r="44" s="407" customFormat="1" ht="16" customHeight="1" spans="1:41">
      <c r="B44" s="671" t="s">
        <v>1049</v>
      </c>
      <c r="C44" s="672"/>
      <c r="D44" s="672"/>
      <c r="E44" s="672"/>
      <c r="F44" s="672"/>
      <c r="G44" s="672"/>
      <c r="H44" s="672"/>
      <c r="I44" s="672"/>
      <c r="J44" s="672"/>
      <c r="K44" s="672"/>
      <c r="L44" s="673"/>
      <c r="M44" s="411"/>
      <c r="P44" s="658" t="s">
        <v>1050</v>
      </c>
      <c r="Q44" s="658">
        <v>0.3723</v>
      </c>
      <c r="R44" s="659">
        <f t="shared" si="0"/>
        <v>0.0531857142857143</v>
      </c>
    </row>
    <row r="45" s="407" customFormat="1" ht="16" customHeight="1" spans="1:41">
      <c r="B45" s="674" t="s">
        <v>1031</v>
      </c>
      <c r="C45" s="653" t="s">
        <v>1032</v>
      </c>
      <c r="D45" s="653"/>
      <c r="E45" s="653" t="s">
        <v>1033</v>
      </c>
      <c r="F45" s="653"/>
      <c r="G45" s="653"/>
      <c r="H45" s="653"/>
      <c r="I45" s="653"/>
      <c r="J45" s="653"/>
      <c r="K45" s="653"/>
      <c r="L45" s="664"/>
      <c r="M45" s="411"/>
      <c r="P45" s="658" t="s">
        <v>1051</v>
      </c>
      <c r="Q45" s="658">
        <v>0.2595</v>
      </c>
      <c r="R45" s="659">
        <f t="shared" si="0"/>
        <v>0.0370714285714286</v>
      </c>
    </row>
    <row r="46" s="407" customFormat="1" ht="19" customHeight="1" spans="1:41">
      <c r="B46" s="674"/>
      <c r="C46" s="653"/>
      <c r="D46" s="653"/>
      <c r="E46" s="653" t="s">
        <v>1052</v>
      </c>
      <c r="F46" s="653" t="s">
        <v>1053</v>
      </c>
      <c r="G46" s="653"/>
      <c r="H46" s="653"/>
      <c r="I46" s="653" t="s">
        <v>1054</v>
      </c>
      <c r="J46" s="653" t="s">
        <v>1055</v>
      </c>
      <c r="K46" s="653" t="s">
        <v>1056</v>
      </c>
      <c r="L46" s="664" t="s">
        <v>1057</v>
      </c>
      <c r="M46" s="411"/>
      <c r="P46" s="658" t="s">
        <v>1058</v>
      </c>
      <c r="Q46" s="658">
        <v>0.3205</v>
      </c>
      <c r="R46" s="659">
        <f t="shared" si="0"/>
        <v>0.0457857142857143</v>
      </c>
    </row>
    <row r="47" s="407" customFormat="1" ht="73.25" customHeight="1" spans="1:41">
      <c r="B47" s="665" t="s">
        <v>1059</v>
      </c>
      <c r="C47" s="652" t="s">
        <v>1060</v>
      </c>
      <c r="D47" s="652"/>
      <c r="E47" s="666">
        <v>0.9</v>
      </c>
      <c r="F47" s="666">
        <v>0.8</v>
      </c>
      <c r="G47" s="666"/>
      <c r="H47" s="666"/>
      <c r="I47" s="666">
        <v>0.65</v>
      </c>
      <c r="J47" s="666">
        <f t="shared" ref="J47:L48" si="1">I47-0.03</f>
        <v>0.62</v>
      </c>
      <c r="K47" s="666">
        <f t="shared" si="1"/>
        <v>0.59</v>
      </c>
      <c r="L47" s="675">
        <f t="shared" si="1"/>
        <v>0.56</v>
      </c>
      <c r="M47" s="676"/>
      <c r="P47" s="658" t="s">
        <v>1061</v>
      </c>
      <c r="Q47" s="658">
        <v>0.3247</v>
      </c>
      <c r="R47" s="659">
        <f t="shared" si="0"/>
        <v>0.0463857142857143</v>
      </c>
    </row>
    <row r="48" s="407" customFormat="1" ht="71" customHeight="1" spans="1:41">
      <c r="B48" s="665" t="s">
        <v>1062</v>
      </c>
      <c r="C48" s="652" t="s">
        <v>1063</v>
      </c>
      <c r="D48" s="652"/>
      <c r="E48" s="666">
        <v>0.95</v>
      </c>
      <c r="F48" s="666">
        <v>0.88</v>
      </c>
      <c r="G48" s="666"/>
      <c r="H48" s="666"/>
      <c r="I48" s="666">
        <v>0.75</v>
      </c>
      <c r="J48" s="666">
        <f t="shared" si="1"/>
        <v>0.72</v>
      </c>
      <c r="K48" s="666">
        <f t="shared" si="1"/>
        <v>0.69</v>
      </c>
      <c r="L48" s="675">
        <f t="shared" si="1"/>
        <v>0.66</v>
      </c>
      <c r="M48" s="676"/>
      <c r="P48" s="658" t="s">
        <v>1064</v>
      </c>
      <c r="Q48" s="658">
        <v>0.3346</v>
      </c>
      <c r="R48" s="659">
        <f t="shared" si="0"/>
        <v>0.0478</v>
      </c>
    </row>
    <row r="49" s="407" customFormat="1" ht="38" customHeight="1" spans="2:18">
      <c r="B49" s="667" t="s">
        <v>1065</v>
      </c>
      <c r="C49" s="668" t="s">
        <v>1066</v>
      </c>
      <c r="D49" s="668"/>
      <c r="E49" s="677">
        <v>1</v>
      </c>
      <c r="F49" s="677">
        <v>0.98</v>
      </c>
      <c r="G49" s="677"/>
      <c r="H49" s="677"/>
      <c r="I49" s="677">
        <v>0.85</v>
      </c>
      <c r="J49" s="677">
        <f>I49-0.02</f>
        <v>0.83</v>
      </c>
      <c r="K49" s="677">
        <f>J49-0.02</f>
        <v>0.81</v>
      </c>
      <c r="L49" s="678">
        <f>K49-0.02</f>
        <v>0.79</v>
      </c>
      <c r="M49" s="676"/>
      <c r="P49" s="658" t="s">
        <v>1067</v>
      </c>
      <c r="Q49" s="658">
        <v>0.3363</v>
      </c>
      <c r="R49" s="659">
        <f t="shared" si="0"/>
        <v>0.0480428571428571</v>
      </c>
    </row>
    <row r="50" s="407" customFormat="1" ht="12" spans="2:18">
      <c r="P50" s="658" t="s">
        <v>1068</v>
      </c>
      <c r="Q50" s="658">
        <v>0.3497</v>
      </c>
      <c r="R50" s="659">
        <f t="shared" si="0"/>
        <v>0.0499571428571429</v>
      </c>
    </row>
    <row r="51" s="407" customFormat="1" ht="12" spans="2:18">
      <c r="P51" s="658" t="s">
        <v>1069</v>
      </c>
      <c r="Q51" s="658">
        <v>0.3514</v>
      </c>
      <c r="R51" s="659">
        <f t="shared" si="0"/>
        <v>0.0502</v>
      </c>
    </row>
    <row r="52" s="407" customFormat="1" ht="12" spans="2:18">
      <c r="P52" s="658" t="s">
        <v>1070</v>
      </c>
      <c r="Q52" s="658">
        <v>0.3515</v>
      </c>
      <c r="R52" s="659">
        <f t="shared" si="0"/>
        <v>0.0502142857142857</v>
      </c>
    </row>
    <row r="53" s="407" customFormat="1" ht="12" spans="2:18">
      <c r="P53" s="658" t="s">
        <v>1071</v>
      </c>
      <c r="Q53" s="658">
        <v>0.3551</v>
      </c>
      <c r="R53" s="659">
        <f t="shared" si="0"/>
        <v>0.0507285714285714</v>
      </c>
    </row>
    <row r="54" s="407" customFormat="1" ht="12" spans="2:18">
      <c r="P54" s="658" t="s">
        <v>1072</v>
      </c>
      <c r="Q54" s="658">
        <v>0.3685</v>
      </c>
      <c r="R54" s="659">
        <f t="shared" si="0"/>
        <v>0.0526428571428571</v>
      </c>
    </row>
    <row r="55" s="407" customFormat="1" ht="12" spans="2:18">
      <c r="P55" s="658" t="s">
        <v>1073</v>
      </c>
      <c r="Q55" s="658">
        <v>0.3693</v>
      </c>
      <c r="R55" s="659">
        <f t="shared" si="0"/>
        <v>0.0527571428571429</v>
      </c>
    </row>
    <row r="56" s="407" customFormat="1" ht="12" spans="2:18">
      <c r="P56" s="658" t="s">
        <v>1074</v>
      </c>
      <c r="Q56" s="658">
        <v>0.3729</v>
      </c>
      <c r="R56" s="659">
        <f t="shared" si="0"/>
        <v>0.0532714285714286</v>
      </c>
    </row>
    <row r="57" s="407" customFormat="1" ht="12" spans="2:18">
      <c r="P57" s="658" t="s">
        <v>1075</v>
      </c>
      <c r="Q57" s="658">
        <v>0.3737</v>
      </c>
      <c r="R57" s="659">
        <f t="shared" si="0"/>
        <v>0.0533857142857143</v>
      </c>
    </row>
    <row r="58" s="407" customFormat="1" ht="12" spans="2:18">
      <c r="P58" s="658" t="s">
        <v>1076</v>
      </c>
      <c r="Q58" s="658">
        <v>0.378</v>
      </c>
      <c r="R58" s="659">
        <f t="shared" si="0"/>
        <v>0.054</v>
      </c>
    </row>
    <row r="59" s="407" customFormat="1" ht="12" spans="2:18">
      <c r="P59" s="658" t="s">
        <v>1077</v>
      </c>
      <c r="Q59" s="658">
        <v>0.3796</v>
      </c>
      <c r="R59" s="659">
        <f t="shared" si="0"/>
        <v>0.0542285714285714</v>
      </c>
    </row>
    <row r="60" s="407" customFormat="1" ht="12" spans="2:18">
      <c r="P60" s="658" t="s">
        <v>1078</v>
      </c>
      <c r="Q60" s="658">
        <v>0.3981</v>
      </c>
      <c r="R60" s="659">
        <f t="shared" si="0"/>
        <v>0.0568714285714286</v>
      </c>
    </row>
    <row r="61" s="407" customFormat="1" ht="12" spans="2:18">
      <c r="P61" s="658" t="s">
        <v>1079</v>
      </c>
      <c r="Q61" s="658">
        <v>0.3993</v>
      </c>
      <c r="R61" s="659">
        <f t="shared" si="0"/>
        <v>0.0570428571428571</v>
      </c>
    </row>
    <row r="62" s="407" customFormat="1" ht="12" spans="2:18">
      <c r="P62" s="658" t="s">
        <v>1080</v>
      </c>
      <c r="Q62" s="658">
        <v>0.4012</v>
      </c>
      <c r="R62" s="659">
        <f t="shared" si="0"/>
        <v>0.0573142857142857</v>
      </c>
    </row>
    <row r="63" s="407" customFormat="1" ht="12" spans="2:18">
      <c r="P63" s="658" t="s">
        <v>1081</v>
      </c>
      <c r="Q63" s="658">
        <v>0.4048</v>
      </c>
      <c r="R63" s="659">
        <f t="shared" si="0"/>
        <v>0.0578285714285714</v>
      </c>
    </row>
    <row r="64" s="407" customFormat="1" ht="12" spans="2:18">
      <c r="P64" s="658" t="s">
        <v>1082</v>
      </c>
      <c r="Q64" s="658">
        <v>0.414</v>
      </c>
      <c r="R64" s="659">
        <f t="shared" si="0"/>
        <v>0.0591428571428571</v>
      </c>
    </row>
    <row r="65" s="407" customFormat="1" ht="12" spans="16:18">
      <c r="P65" s="658" t="s">
        <v>1083</v>
      </c>
      <c r="Q65" s="658">
        <v>0.4153</v>
      </c>
      <c r="R65" s="659">
        <f t="shared" si="0"/>
        <v>0.0593285714285714</v>
      </c>
    </row>
    <row r="66" s="407" customFormat="1" ht="12" spans="16:18">
      <c r="P66" s="658" t="s">
        <v>1084</v>
      </c>
      <c r="Q66" s="658">
        <v>0.4198</v>
      </c>
      <c r="R66" s="659">
        <f t="shared" si="0"/>
        <v>0.0599714285714286</v>
      </c>
    </row>
    <row r="67" s="407" customFormat="1" ht="12" spans="16:18">
      <c r="P67" s="658" t="s">
        <v>1085</v>
      </c>
      <c r="Q67" s="658">
        <v>0.4471</v>
      </c>
      <c r="R67" s="659">
        <f t="shared" si="0"/>
        <v>0.0638714285714286</v>
      </c>
    </row>
    <row r="68" s="407" customFormat="1" ht="12" spans="16:18">
      <c r="P68" s="658" t="s">
        <v>1086</v>
      </c>
      <c r="Q68" s="658">
        <v>0.4505</v>
      </c>
      <c r="R68" s="659">
        <f t="shared" si="0"/>
        <v>0.0643571428571429</v>
      </c>
    </row>
    <row r="69" s="407" customFormat="1" ht="12"/>
    <row r="70" s="407" customFormat="1" ht="12"/>
    <row r="71" s="407" customFormat="1" ht="12"/>
    <row r="72" s="407" customFormat="1" ht="12"/>
    <row r="73" s="407" customFormat="1" ht="12"/>
    <row r="74" s="407" customFormat="1" ht="12"/>
    <row r="75" s="407" customFormat="1" ht="12"/>
    <row r="76" s="407" customFormat="1" ht="12"/>
    <row r="77" s="407" customFormat="1" ht="12"/>
    <row r="78" s="407" customFormat="1" ht="12"/>
    <row r="79" s="407" customFormat="1" ht="12"/>
    <row r="80" s="407" customFormat="1" ht="12"/>
    <row r="81" s="407" customFormat="1" ht="12"/>
    <row r="82" s="407" customFormat="1" ht="12"/>
    <row r="83" s="407" customFormat="1" ht="12"/>
    <row r="84" s="407" customFormat="1" ht="12"/>
    <row r="85" s="407" customFormat="1" ht="12"/>
    <row r="86" s="407" customFormat="1" ht="12"/>
    <row r="87" s="407" customFormat="1" ht="12"/>
    <row r="88" s="407" customFormat="1" ht="12"/>
    <row r="89" s="407" customFormat="1" ht="12"/>
    <row r="90" s="407" customFormat="1" ht="12"/>
    <row r="91" s="407" customFormat="1" ht="12"/>
    <row r="92" s="407" customFormat="1" ht="12"/>
    <row r="93" s="407" customFormat="1" ht="12"/>
    <row r="94" s="407" customFormat="1" ht="12"/>
    <row r="95" s="407" customFormat="1" ht="12"/>
    <row r="96" s="407" customFormat="1" ht="12"/>
    <row r="97" s="407" customFormat="1" ht="12"/>
    <row r="98" s="407" customFormat="1" ht="12"/>
    <row r="99" s="407" customFormat="1" ht="12"/>
    <row r="100" s="407" customFormat="1" ht="12"/>
    <row r="101" s="407" customFormat="1" ht="12"/>
    <row r="102" s="407" customFormat="1" ht="12"/>
    <row r="103" s="407" customFormat="1" ht="12"/>
    <row r="104" s="407" customFormat="1" ht="12"/>
    <row r="105" s="407" customFormat="1" ht="12"/>
    <row r="106" s="407" customFormat="1" ht="12"/>
    <row r="107" s="407" customFormat="1" ht="12"/>
    <row r="108" s="407" customFormat="1" ht="12"/>
    <row r="109" s="407" customFormat="1" ht="12"/>
    <row r="110" s="407" customFormat="1" ht="12"/>
    <row r="111" s="407" customFormat="1" ht="12"/>
  </sheetData>
  <sheetProtection selectLockedCells="1" selectUnlockedCells="1" autoFilter="0"/>
  <mergeCells count="42">
    <mergeCell ref="B2:Q2"/>
    <mergeCell ref="B5:Q5"/>
    <mergeCell ref="B10:Q10"/>
    <mergeCell ref="B11:H11"/>
    <mergeCell ref="I11:Q11"/>
    <mergeCell ref="B16:P16"/>
    <mergeCell ref="B19:F19"/>
    <mergeCell ref="G19:K19"/>
    <mergeCell ref="L19:M19"/>
    <mergeCell ref="N19:O19"/>
    <mergeCell ref="P19:Q19"/>
    <mergeCell ref="B22:D22"/>
    <mergeCell ref="E22:K22"/>
    <mergeCell ref="L22:Q22"/>
    <mergeCell ref="B25:D25"/>
    <mergeCell ref="E25:K25"/>
    <mergeCell ref="L25:Q25"/>
    <mergeCell ref="B28:M28"/>
    <mergeCell ref="N28:R28"/>
    <mergeCell ref="B31:F31"/>
    <mergeCell ref="G31:H31"/>
    <mergeCell ref="I31:J31"/>
    <mergeCell ref="K31:M31"/>
    <mergeCell ref="N31:O31"/>
    <mergeCell ref="P31:R31"/>
    <mergeCell ref="B36:N36"/>
    <mergeCell ref="J37:N37"/>
    <mergeCell ref="C39:I39"/>
    <mergeCell ref="C40:I40"/>
    <mergeCell ref="C41:I41"/>
    <mergeCell ref="C42:I42"/>
    <mergeCell ref="B44:L44"/>
    <mergeCell ref="E45:L45"/>
    <mergeCell ref="C47:D47"/>
    <mergeCell ref="C48:D48"/>
    <mergeCell ref="C49:D49"/>
    <mergeCell ref="B37:B38"/>
    <mergeCell ref="B45:B46"/>
    <mergeCell ref="B3:Q4"/>
    <mergeCell ref="C45:D46"/>
    <mergeCell ref="C37:I38"/>
    <mergeCell ref="J8:K9"/>
  </mergeCells>
  <dataValidations count="2">
    <dataValidation type="list" allowBlank="1" showInputMessage="1" showErrorMessage="1" sqref="Q7 C30 J30">
      <formula1>"YES,NO"</formula1>
    </dataValidation>
    <dataValidation type="list" allowBlank="1" showInputMessage="1" showErrorMessage="1" sqref="M30">
      <formula1>"1,2"</formula1>
    </dataValidation>
  </dataValidations>
  <pageMargins left="0" right="0" top="0" bottom="1" header="0" footer="0"/>
  <pageSetup paperSize="9" orientation="portrait"/>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H40"/>
  <sheetViews>
    <sheetView tabSelected="1" topLeftCell="A2" workbookViewId="0">
      <selection activeCell="D17" sqref="D17"/>
    </sheetView>
  </sheetViews>
  <sheetFormatPr defaultColWidth="8.35714285714286" defaultRowHeight="16.8" outlineLevelCol="7"/>
  <cols>
    <col min="1" max="1" width="8.35714285714286" style="380"/>
    <col min="2" max="2" width="53.4642857142857" style="380" customWidth="1"/>
    <col min="3" max="3" width="19.625" style="380" customWidth="1"/>
    <col min="4" max="4" width="15.4107142857143" style="380" customWidth="1"/>
    <col min="5" max="8" width="12.0714285714286" style="380" customWidth="1"/>
    <col min="9" max="16384" width="8.35714285714286" style="380"/>
  </cols>
  <sheetData>
    <row r="2" s="380" customFormat="1" ht="51" customHeight="1" spans="2:8">
      <c r="B2" s="381" t="s">
        <v>1087</v>
      </c>
      <c r="C2" s="382"/>
      <c r="D2" s="383"/>
      <c r="E2" s="383"/>
      <c r="F2" s="383"/>
      <c r="G2" s="383"/>
      <c r="H2" s="383"/>
    </row>
    <row r="3" s="380" customFormat="1" ht="38" customHeight="1" spans="2:8">
      <c r="B3" s="384" t="s">
        <v>1088</v>
      </c>
      <c r="C3" s="385"/>
      <c r="D3" s="386"/>
      <c r="E3" s="386"/>
      <c r="F3" s="386"/>
      <c r="G3" s="386"/>
      <c r="H3" s="386"/>
    </row>
    <row r="5" s="380" customFormat="1" spans="2:8">
      <c r="B5" s="387" t="s">
        <v>1089</v>
      </c>
      <c r="C5" s="388"/>
    </row>
    <row r="6" s="380" customFormat="1" ht="17" spans="2:8">
      <c r="B6" s="389" t="s">
        <v>1090</v>
      </c>
      <c r="C6" s="390">
        <f>假设及结论!Q30</f>
        <v>0.3</v>
      </c>
    </row>
    <row r="7" s="380" customFormat="1" ht="17" spans="2:8">
      <c r="B7" s="389" t="s">
        <v>1091</v>
      </c>
      <c r="C7" s="390">
        <f>1-C6</f>
        <v>0.7</v>
      </c>
    </row>
    <row r="8" s="380" customFormat="1" ht="17" spans="2:8">
      <c r="B8" s="389" t="s">
        <v>1092</v>
      </c>
      <c r="C8" s="390">
        <f>假设及结论!B30</f>
        <v>0.1</v>
      </c>
    </row>
    <row r="9" s="380" customFormat="1" ht="17" spans="2:8">
      <c r="B9" s="389" t="s">
        <v>1093</v>
      </c>
      <c r="C9" s="391">
        <v>0.4</v>
      </c>
    </row>
    <row r="10" s="380" customFormat="1" ht="17" spans="2:8">
      <c r="B10" s="389" t="s">
        <v>1094</v>
      </c>
      <c r="C10" s="392">
        <v>0.017</v>
      </c>
    </row>
    <row r="11" s="380" customFormat="1" ht="17" spans="2:8">
      <c r="B11" s="389" t="s">
        <v>1095</v>
      </c>
      <c r="C11" s="392">
        <v>0.05</v>
      </c>
    </row>
    <row r="12" s="380" customFormat="1" ht="37" customHeight="1" spans="2:8">
      <c r="B12" s="389" t="s">
        <v>1096</v>
      </c>
      <c r="C12" s="392">
        <v>0.054</v>
      </c>
    </row>
    <row r="13" s="380" customFormat="1" ht="17" spans="2:8">
      <c r="B13" s="389" t="s">
        <v>1097</v>
      </c>
      <c r="C13" s="392">
        <v>0.045</v>
      </c>
    </row>
    <row r="15" s="380" customFormat="1" spans="2:8">
      <c r="B15" s="387" t="s">
        <v>1098</v>
      </c>
      <c r="C15" s="388"/>
    </row>
    <row r="16" s="380" customFormat="1" ht="17" spans="2:8">
      <c r="B16" s="389" t="s">
        <v>1099</v>
      </c>
      <c r="C16" s="393">
        <f>C9*(1+(1-C8)*C7/C6)</f>
        <v>1.24</v>
      </c>
    </row>
    <row r="17" s="380" customFormat="1" ht="17" spans="2:8">
      <c r="B17" s="389" t="s">
        <v>1100</v>
      </c>
      <c r="C17" s="390">
        <f>C10+C16*C11+C12</f>
        <v>0.133</v>
      </c>
    </row>
    <row r="18" s="380" customFormat="1" ht="17" spans="2:8">
      <c r="B18" s="389" t="s">
        <v>1101</v>
      </c>
      <c r="C18" s="390">
        <f>C13*(1-C8)</f>
        <v>0.0405</v>
      </c>
    </row>
    <row r="19" s="380" customFormat="1" ht="34" spans="2:8">
      <c r="B19" s="389" t="s">
        <v>1102</v>
      </c>
      <c r="C19" s="394">
        <f>C6*C17+C7*C18</f>
        <v>0.06825</v>
      </c>
    </row>
    <row r="20" s="380" customFormat="1" ht="67" customHeight="1" spans="2:8">
      <c r="B20" s="395" t="s">
        <v>1103</v>
      </c>
      <c r="C20" s="395"/>
      <c r="D20" s="396"/>
      <c r="E20" s="396"/>
      <c r="F20" s="396"/>
      <c r="G20" s="396"/>
      <c r="H20" s="396"/>
    </row>
    <row r="22" s="380" customFormat="1" spans="2:8">
      <c r="B22" s="397" t="s">
        <v>1104</v>
      </c>
    </row>
    <row r="23" s="380" customFormat="1" spans="2:8">
      <c r="B23" s="398" t="s">
        <v>1105</v>
      </c>
      <c r="C23" s="398" t="s">
        <v>1106</v>
      </c>
      <c r="D23" s="398" t="s">
        <v>1107</v>
      </c>
    </row>
    <row r="24" s="380" customFormat="1" spans="2:8">
      <c r="B24" s="399" t="s">
        <v>1108</v>
      </c>
      <c r="C24" s="400">
        <f>[1]WACC测算!B9</f>
        <v>0.047</v>
      </c>
      <c r="D24" s="400">
        <f>C10</f>
        <v>0.017</v>
      </c>
    </row>
    <row r="25" s="380" customFormat="1" spans="2:8">
      <c r="B25" s="399" t="s">
        <v>1109</v>
      </c>
      <c r="C25" s="401">
        <f>[1]WACC测算!B17</f>
        <v>1.24</v>
      </c>
      <c r="D25" s="401">
        <f>C16</f>
        <v>1.24</v>
      </c>
    </row>
    <row r="26" s="380" customFormat="1" spans="2:8">
      <c r="B26" s="399" t="s">
        <v>1110</v>
      </c>
      <c r="C26" s="400">
        <f>[1]WACC测算!B18</f>
        <v>0.163</v>
      </c>
      <c r="D26" s="400">
        <f>C17</f>
        <v>0.133</v>
      </c>
    </row>
    <row r="27" s="380" customFormat="1" spans="2:8">
      <c r="B27" s="399" t="s">
        <v>1111</v>
      </c>
      <c r="C27" s="400">
        <f>[1]WACC测算!B13</f>
        <v>0.07</v>
      </c>
      <c r="D27" s="400">
        <f>C13</f>
        <v>0.045</v>
      </c>
    </row>
    <row r="28" s="380" customFormat="1" spans="2:8">
      <c r="B28" s="399" t="s">
        <v>1101</v>
      </c>
      <c r="C28" s="400">
        <f>[1]WACC测算!B20</f>
        <v>0.063</v>
      </c>
      <c r="D28" s="400">
        <f>C18</f>
        <v>0.0405</v>
      </c>
    </row>
    <row r="29" s="380" customFormat="1" spans="2:8">
      <c r="B29" s="399" t="s">
        <v>1112</v>
      </c>
      <c r="C29" s="400">
        <f>[1]WACC测算!B22</f>
        <v>0.093</v>
      </c>
      <c r="D29" s="402">
        <f>C19</f>
        <v>0.06825</v>
      </c>
    </row>
    <row r="32" s="380" customFormat="1" spans="2:8">
      <c r="B32" s="397" t="s">
        <v>1113</v>
      </c>
    </row>
    <row r="33" s="380" customFormat="1" spans="2:8">
      <c r="B33" s="398" t="s">
        <v>1114</v>
      </c>
      <c r="C33" s="403"/>
      <c r="D33" s="403">
        <v>0.03</v>
      </c>
      <c r="E33" s="403">
        <v>0.04</v>
      </c>
      <c r="F33" s="403">
        <v>0.054</v>
      </c>
      <c r="G33" s="403">
        <v>0.06</v>
      </c>
      <c r="H33" s="403">
        <v>0.07</v>
      </c>
    </row>
    <row r="34" s="380" customFormat="1" spans="2:8">
      <c r="B34" s="399" t="s">
        <v>1115</v>
      </c>
      <c r="C34" s="404">
        <v>0.035</v>
      </c>
      <c r="D34" s="405">
        <f t="shared" ref="D34:H34" si="0">$C$6*($C$10+$C$16*$C$11+D$33)+$C$7*$C34*(1-$C$8)</f>
        <v>0.05475</v>
      </c>
      <c r="E34" s="405">
        <f t="shared" si="0"/>
        <v>0.05775</v>
      </c>
      <c r="F34" s="405">
        <f t="shared" si="0"/>
        <v>0.06195</v>
      </c>
      <c r="G34" s="405">
        <f t="shared" si="0"/>
        <v>0.06375</v>
      </c>
      <c r="H34" s="405">
        <f t="shared" si="0"/>
        <v>0.06675</v>
      </c>
    </row>
    <row r="35" s="380" customFormat="1" spans="2:8">
      <c r="B35" s="399" t="s">
        <v>1116</v>
      </c>
      <c r="C35" s="404">
        <v>0.04</v>
      </c>
      <c r="D35" s="405">
        <f t="shared" ref="D35:H35" si="1">$C$6*($C$10+$C$16*$C$11+D$33)+$C$7*$C35*(1-$C$8)</f>
        <v>0.0579</v>
      </c>
      <c r="E35" s="405">
        <f t="shared" si="1"/>
        <v>0.0609</v>
      </c>
      <c r="F35" s="405">
        <f t="shared" si="1"/>
        <v>0.0651</v>
      </c>
      <c r="G35" s="405">
        <f t="shared" si="1"/>
        <v>0.0669</v>
      </c>
      <c r="H35" s="405">
        <f t="shared" si="1"/>
        <v>0.0699</v>
      </c>
    </row>
    <row r="36" s="380" customFormat="1" spans="2:8">
      <c r="B36" s="399" t="s">
        <v>1117</v>
      </c>
      <c r="C36" s="404">
        <v>0.045</v>
      </c>
      <c r="D36" s="405">
        <f t="shared" ref="D36:H36" si="2">$C$6*($C$10+$C$16*$C$11+D$33)+$C$7*$C36*(1-$C$8)</f>
        <v>0.06105</v>
      </c>
      <c r="E36" s="405">
        <f t="shared" si="2"/>
        <v>0.06405</v>
      </c>
      <c r="F36" s="405">
        <f t="shared" si="2"/>
        <v>0.06825</v>
      </c>
      <c r="G36" s="405">
        <f t="shared" si="2"/>
        <v>0.07005</v>
      </c>
      <c r="H36" s="405">
        <f t="shared" si="2"/>
        <v>0.07305</v>
      </c>
    </row>
    <row r="37" s="380" customFormat="1" spans="2:8">
      <c r="B37" s="399" t="s">
        <v>1118</v>
      </c>
      <c r="C37" s="404">
        <v>0.05</v>
      </c>
      <c r="D37" s="405">
        <f t="shared" ref="D37:H37" si="3">$C$6*($C$10+$C$16*$C$11+D$33)+$C$7*$C37*(1-$C$8)</f>
        <v>0.0642</v>
      </c>
      <c r="E37" s="405">
        <f t="shared" si="3"/>
        <v>0.0672</v>
      </c>
      <c r="F37" s="405">
        <f t="shared" si="3"/>
        <v>0.0714</v>
      </c>
      <c r="G37" s="405">
        <f t="shared" si="3"/>
        <v>0.0732</v>
      </c>
      <c r="H37" s="405">
        <f t="shared" si="3"/>
        <v>0.0762</v>
      </c>
    </row>
    <row r="38" s="380" customFormat="1" spans="2:8">
      <c r="B38" s="399" t="s">
        <v>1119</v>
      </c>
      <c r="C38" s="404">
        <v>0.055</v>
      </c>
      <c r="D38" s="405">
        <f t="shared" ref="D38:H38" si="4">$C$6*($C$10+$C$16*$C$11+D$33)+$C$7*$C38*(1-$C$8)</f>
        <v>0.06735</v>
      </c>
      <c r="E38" s="405">
        <f t="shared" si="4"/>
        <v>0.07035</v>
      </c>
      <c r="F38" s="405">
        <f t="shared" si="4"/>
        <v>0.07455</v>
      </c>
      <c r="G38" s="405">
        <f t="shared" si="4"/>
        <v>0.07635</v>
      </c>
      <c r="H38" s="405">
        <f t="shared" si="4"/>
        <v>0.07935</v>
      </c>
    </row>
    <row r="40" s="380" customFormat="1" spans="2:8">
      <c r="B40" s="406" t="s">
        <v>1120</v>
      </c>
    </row>
  </sheetData>
  <mergeCells count="6">
    <mergeCell ref="B2:C2"/>
    <mergeCell ref="B3:C3"/>
    <mergeCell ref="D3:E3"/>
    <mergeCell ref="F3:G3"/>
    <mergeCell ref="B20:C20"/>
    <mergeCell ref="B40:H40"/>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E1:R46"/>
  <sheetViews>
    <sheetView zoomScale="115" zoomScaleNormal="115" topLeftCell="A27" workbookViewId="0">
      <selection activeCell="I44" sqref="I44"/>
    </sheetView>
  </sheetViews>
  <sheetFormatPr defaultColWidth="9.14285714285714" defaultRowHeight="17.6"/>
  <cols>
    <col min="5" max="5" width="13.25" customWidth="1"/>
    <col min="6" max="6" width="10.7857142857143"/>
    <col min="7" max="7" width="16.8125" customWidth="1"/>
    <col min="8" max="8" width="17.6964285714286" customWidth="1"/>
    <col min="11" max="11" width="13.1607142857143" customWidth="1"/>
    <col min="12" max="12" width="9.86607142857143"/>
    <col min="13" max="13" width="11.1071428571429" customWidth="1"/>
    <col min="14" max="14" width="15.0714285714286"/>
    <col min="18" max="18" width="12.0714285714286" customWidth="1"/>
  </cols>
  <sheetData>
    <row r="1" ht="18.35"/>
    <row r="2" customHeight="1" spans="5:18">
      <c r="E2" s="314" t="s">
        <v>1121</v>
      </c>
      <c r="F2" s="315"/>
      <c r="G2" s="315"/>
      <c r="H2" s="316"/>
    </row>
    <row r="3" ht="34" customHeight="1" spans="5:18">
      <c r="E3" s="317" t="s">
        <v>1122</v>
      </c>
      <c r="F3" s="318">
        <v>1</v>
      </c>
      <c r="G3" s="319" t="s">
        <v>1123</v>
      </c>
      <c r="H3" s="320">
        <f>假设及结论!I15</f>
        <v>0.35</v>
      </c>
    </row>
    <row r="4" spans="5:18">
      <c r="E4" s="321" t="s">
        <v>1124</v>
      </c>
      <c r="F4" s="322">
        <f>假设及结论!B13</f>
        <v>267947.357144546</v>
      </c>
      <c r="G4" s="196" t="s">
        <v>1125</v>
      </c>
      <c r="H4" s="323">
        <f>假设及结论!I13</f>
        <v>1545</v>
      </c>
    </row>
    <row r="5" spans="5:18">
      <c r="E5" s="324"/>
      <c r="F5" s="195"/>
      <c r="G5" s="196" t="s">
        <v>1126</v>
      </c>
      <c r="H5" s="325" t="s">
        <v>1127</v>
      </c>
    </row>
    <row r="6" ht="18.35" spans="5:18">
      <c r="E6" s="326"/>
      <c r="F6" s="327"/>
      <c r="G6" s="328">
        <f>假设及结论!G9</f>
        <v>0.115992191541394</v>
      </c>
      <c r="H6" s="329">
        <f>假设及结论!G7</f>
        <v>0.210528646760078</v>
      </c>
    </row>
    <row r="7" ht="18.35" spans="5:18">
      <c r="E7" s="1"/>
      <c r="F7" s="1"/>
      <c r="G7" s="330"/>
      <c r="H7" s="330"/>
    </row>
    <row r="8" ht="24" customHeight="1" spans="5:18">
      <c r="E8" s="331" t="s">
        <v>1128</v>
      </c>
      <c r="F8" s="332"/>
      <c r="G8" s="332"/>
      <c r="H8" s="333"/>
      <c r="K8" s="334" t="s">
        <v>1129</v>
      </c>
      <c r="L8" s="335"/>
      <c r="M8" s="335"/>
      <c r="N8" s="335"/>
      <c r="O8" s="335"/>
      <c r="P8" s="335"/>
      <c r="Q8" s="335"/>
      <c r="R8" s="336"/>
    </row>
    <row r="9" ht="18.35" spans="5:18">
      <c r="E9" s="337" t="s">
        <v>657</v>
      </c>
      <c r="F9" s="338" t="s">
        <v>1130</v>
      </c>
      <c r="G9" s="338" t="s">
        <v>1131</v>
      </c>
      <c r="H9" s="338" t="s">
        <v>1132</v>
      </c>
      <c r="K9" s="339" t="s">
        <v>61</v>
      </c>
      <c r="L9" s="340" t="s">
        <v>396</v>
      </c>
      <c r="M9" s="341" t="s">
        <v>1133</v>
      </c>
      <c r="N9" s="341" t="s">
        <v>1133</v>
      </c>
      <c r="O9" s="341" t="s">
        <v>1133</v>
      </c>
      <c r="P9" s="341" t="s">
        <v>1133</v>
      </c>
      <c r="Q9" s="341" t="s">
        <v>1133</v>
      </c>
      <c r="R9" s="341" t="s">
        <v>1134</v>
      </c>
    </row>
    <row r="10" ht="18.35" spans="5:18">
      <c r="E10" s="342" t="s">
        <v>1135</v>
      </c>
      <c r="F10" s="342"/>
      <c r="G10" s="343">
        <f>IF(AND($F$4=假设及结论!$B$13,$H$3=假设及结论!$I$15,$H$4=假设及结论!$I$13,F3=假设及结论!F15),G6,G10)</f>
        <v>0.115992191541394</v>
      </c>
      <c r="H10" s="343">
        <f>IF(AND($F$4=假设及结论!$B$13,$H$3=假设及结论!$I$15,$H$4=假设及结论!$I$13,F3=假设及结论!F15),H6,H10)</f>
        <v>0.210528646760078</v>
      </c>
      <c r="K10" s="339"/>
      <c r="L10" s="340"/>
      <c r="M10" s="344" t="s">
        <v>1136</v>
      </c>
      <c r="N10" s="344" t="s">
        <v>1137</v>
      </c>
      <c r="O10" s="344" t="s">
        <v>1138</v>
      </c>
      <c r="P10" s="344" t="s">
        <v>1139</v>
      </c>
      <c r="Q10" s="344" t="s">
        <v>1140</v>
      </c>
      <c r="R10" s="344" t="s">
        <v>1141</v>
      </c>
    </row>
    <row r="11" ht="18.35" spans="5:18">
      <c r="E11" s="345"/>
      <c r="F11" s="346">
        <v>0.1</v>
      </c>
      <c r="G11" s="347" t="e">
        <f ca="1">IF((1+F11)*$F$4=假设及结论!$B$13,$G$6,$G11)</f>
        <v>#REF!</v>
      </c>
      <c r="H11" s="348" t="e">
        <f ca="1">IF((1+F11)*$F$4=假设及结论!$B$13,$H$6,$H11)</f>
        <v>#REF!</v>
      </c>
      <c r="K11" s="349">
        <v>1</v>
      </c>
      <c r="L11" s="350" t="s">
        <v>1142</v>
      </c>
      <c r="M11" s="351">
        <f>IF(AND($F$4=假设及结论!$B$13,$H$3=假设及结论!$I$15,$H$4=假设及结论!$I$13,假设及结论!$F$15=1,假设及结论!$G$15=OperationPeriod),销售收入!E6,M11)</f>
        <v>39737.25</v>
      </c>
      <c r="N11" s="351">
        <f>IF(AND($F$4=假设及结论!$B$13,$H$3=假设及结论!$I$15,$H$4=假设及结论!$I$13,假设及结论!$F$15=1,假设及结论!$G$15=OperationPeriod),销售收入!F6,N11)</f>
        <v>39339.8775</v>
      </c>
      <c r="O11" s="351">
        <f>IF(AND($F$4=假设及结论!$B$13,$H$3=假设及结论!$I$15,$H$4=假设及结论!$I$13,假设及结论!$F$15=1,假设及结论!$G$15=OperationPeriod),销售收入!G6,O11)</f>
        <v>39180.9285</v>
      </c>
      <c r="P11" s="351">
        <f>IF(AND($F$4=假设及结论!$B$13,$H$3=假设及结论!$I$15,$H$4=假设及结论!$I$13,假设及结论!$F$15=1,假设及结论!$G$15=OperationPeriod),销售收入!H6,P11)</f>
        <v>39021.9795</v>
      </c>
      <c r="Q11" s="351">
        <f>IF(AND($F$4=假设及结论!$B$13,$H$3=假设及结论!$I$15,$H$4=假设及结论!$I$13,假设及结论!$F$15=1,假设及结论!$G$15=OperationPeriod),销售收入!I6,Q11)</f>
        <v>38863.0305</v>
      </c>
      <c r="R11" s="351">
        <f>IF(AND($F$4=假设及结论!$B$13,$H$3=假设及结论!$I$15,$H$4=假设及结论!$I$13,假设及结论!$F$15=1,假设及结论!$G$15=OperationPeriod),SUM(销售收入!E6:AD6)/OperationPeriod,R11)</f>
        <v>37600.97544</v>
      </c>
    </row>
    <row r="12" ht="18.35" spans="5:18">
      <c r="E12" s="345" t="s">
        <v>1143</v>
      </c>
      <c r="F12" s="352">
        <v>0.05</v>
      </c>
      <c r="G12" s="347" t="e">
        <f ca="1">IF((1+F12)*$F$4=假设及结论!$B$13,$G$6,$G12)</f>
        <v>#REF!</v>
      </c>
      <c r="H12" s="348" t="e">
        <f ca="1">IF((1+F12)*$F$4=假设及结论!$B$13,$H$6,$H12)</f>
        <v>#REF!</v>
      </c>
      <c r="K12" s="353">
        <v>2</v>
      </c>
      <c r="L12" s="350" t="s">
        <v>1144</v>
      </c>
      <c r="M12" s="351">
        <f>IF(AND($F$4=假设及结论!$B$13,$H$3=假设及结论!$I$15,$H$4=假设及结论!$I$13,假设及结论!$F$15=1,假设及结论!$G$15=OperationPeriod),损益表!E14,M12)</f>
        <v>19499.2194713201</v>
      </c>
      <c r="N12" s="351">
        <f>IF(AND($F$4=假设及结论!$B$13,$H$3=假设及结论!$I$15,$H$4=假设及结论!$I$13,假设及结论!$F$15=1,假设及结论!$G$15=OperationPeriod),损益表!F14,N12)</f>
        <v>19551.372678823</v>
      </c>
      <c r="O12" s="351">
        <f>IF(AND($F$4=假设及结论!$B$13,$H$3=假设及结论!$I$15,$H$4=假设及结论!$I$13,假设及结论!$F$15=1,假设及结论!$G$15=OperationPeriod),损益表!G14,O12)</f>
        <v>19839.5630717483</v>
      </c>
      <c r="P12" s="351">
        <f>IF(AND($F$4=假设及结论!$B$13,$H$3=假设及结论!$I$15,$H$4=假设及结论!$I$13,假设及结论!$F$15=1,假设及结论!$G$15=OperationPeriod),损益表!H14,P12)</f>
        <v>20127.7513830166</v>
      </c>
      <c r="Q12" s="351">
        <f>IF(AND($F$4=假设及结论!$B$13,$H$3=假设及结论!$I$15,$H$4=假设及结论!$I$13,假设及结论!$F$15=1,假设及结论!$G$15=OperationPeriod),损益表!I14,Q12)</f>
        <v>20415.9376105461</v>
      </c>
      <c r="R12" s="351">
        <f>IF(AND($F$4=假设及结论!$B$13,$H$3=假设及结论!$I$15,$H$4=假设及结论!$I$13,假设及结论!$F$15=1),SUM(损益表!E14:AD14)/OperationPeriod,R12)</f>
        <v>21800.8384100417</v>
      </c>
    </row>
    <row r="13" ht="18.35" spans="5:18">
      <c r="E13" s="345" t="s">
        <v>1130</v>
      </c>
      <c r="F13" s="346">
        <v>-0.05</v>
      </c>
      <c r="G13" s="347" t="e">
        <f ca="1">IF((1+F13)*$F$4=假设及结论!$B$13,$G$6,$G13)</f>
        <v>#REF!</v>
      </c>
      <c r="H13" s="348" t="e">
        <f ca="1">IF((1+F13)*$F$4=假设及结论!$B$13,$H$6,$H13)</f>
        <v>#REF!</v>
      </c>
      <c r="K13" s="353">
        <v>3</v>
      </c>
      <c r="L13" s="350" t="s">
        <v>1145</v>
      </c>
      <c r="M13" s="351">
        <f>IF(AND($F$4=假设及结论!$B$13,$H$3=假设及结论!$I$15,$H$4=假设及结论!$I$13,$F$3=假设及结论!$F$15),损益表!E37,M13)</f>
        <v>9032.96277696812</v>
      </c>
      <c r="N13" s="351">
        <f>IF(AND($F$4=假设及结论!$B$13,$H$3=假设及结论!$I$15,$H$4=假设及结论!$I$13,$F$3=假设及结论!$F$15),损益表!F37,N13)</f>
        <v>9489.50074056497</v>
      </c>
      <c r="O13" s="351">
        <f>IF(AND($F$4=假设及结论!$B$13,$H$3=假设及结论!$I$15,$H$4=假设及结论!$I$13,$F$3=假设及结论!$F$15),损益表!G37,O13)</f>
        <v>10197.3799505941</v>
      </c>
      <c r="P13" s="351">
        <f>IF(AND($F$4=假设及结论!$B$13,$H$3=假设及结论!$I$15,$H$4=假设及结论!$I$13,$F$3=假设及结论!$F$15),损益表!H37,P13)</f>
        <v>10905.2569439968</v>
      </c>
      <c r="Q13" s="351">
        <f>IF(AND($F$4=假设及结论!$B$13,$H$3=假设及结论!$I$15,$H$4=假设及结论!$I$13,$F$3=假设及结论!$F$15),损益表!I37,Q13)</f>
        <v>11613.1317185563</v>
      </c>
      <c r="R13" s="351">
        <f>IF(AND($F$4=假设及结论!$B$13,$H$3=假设及结论!$I$15,$H$4=假设及结论!$I$13,$F$3=假设及结论!$F$15),SUM(损益表!E37:AD37)/OperationPeriod,R13)</f>
        <v>15781.9096329449</v>
      </c>
    </row>
    <row r="14" ht="18.35" spans="5:18">
      <c r="E14" s="354"/>
      <c r="F14" s="352">
        <v>-0.1</v>
      </c>
      <c r="G14" s="347" t="e">
        <f ca="1">IF((1+F14)*$F$4=假设及结论!$B$13,$G$6,$G14)</f>
        <v>#REF!</v>
      </c>
      <c r="H14" s="348" t="e">
        <f ca="1">IF((1+F14)*$F$4=假设及结论!$B$13,$H$6,$H14)</f>
        <v>#REF!</v>
      </c>
      <c r="K14" s="353">
        <v>4</v>
      </c>
      <c r="L14" s="350" t="s">
        <v>1146</v>
      </c>
      <c r="M14" s="351">
        <f>IF(AND($F$4=假设及结论!$B$13,$H$3=假设及结论!$I$15,$H$4=假设及结论!$I$13,$F$3=假设及结论!$F$15),资本金现金流!D21,M14)</f>
        <v>16215.0480691681</v>
      </c>
      <c r="N14" s="351">
        <f>IF(AND($F$4=假设及结论!$B$13,$H$3=假设及结论!$I$15,$H$4=假设及结论!$I$13,$F$3=假设及结论!$F$15),资本金现金流!E21,N14)</f>
        <v>16264.5936162957</v>
      </c>
      <c r="O14" s="351">
        <f>IF(AND($F$4=假设及结论!$B$13,$H$3=假设及结论!$I$15,$H$4=假设及结论!$I$13,$F$3=假设及结论!$F$15),资本金现金流!F21,O14)</f>
        <v>16538.3744895748</v>
      </c>
      <c r="P14" s="351">
        <f>IF(AND($F$4=假设及结论!$B$13,$H$3=假设及结论!$I$15,$H$4=假设及结论!$I$13,$F$3=假设及结论!$F$15),资本金现金流!G21,P14)</f>
        <v>16812.1533852797</v>
      </c>
      <c r="Q14" s="351">
        <f>IF(AND($F$4=假设及结论!$B$13,$H$3=假设及结论!$I$15,$H$4=假设及结论!$I$13,$F$3=假设及结论!$F$15),资本金现金流!H21,Q14)</f>
        <v>17085.9303014327</v>
      </c>
      <c r="R14" s="351">
        <f>IF(AND($F$4=假设及结论!$B$13,$H$3=假设及结论!$I$15,$H$4=假设及结论!$I$13,$F$3=假设及结论!$F$15),SUM(资本金现金流!D21:AC21)/OperationPeriod,R14)</f>
        <v>21350.2701466865</v>
      </c>
    </row>
    <row r="15" ht="18.35" spans="5:18">
      <c r="E15" s="345"/>
      <c r="F15" s="346">
        <v>-0.05</v>
      </c>
      <c r="G15" s="347">
        <f ca="1">IF((1+F15)*$H$3=假设及结论!$I$15,$G$6,$G15)</f>
        <v>0</v>
      </c>
      <c r="H15" s="347">
        <f ca="1">IF((1+F15)*$H$3=假设及结论!$I$15,$H$6,$H15)</f>
        <v>0</v>
      </c>
    </row>
    <row r="16" ht="21.75" spans="5:18">
      <c r="E16" s="345" t="s">
        <v>1147</v>
      </c>
      <c r="F16" s="352">
        <v>-0.1</v>
      </c>
      <c r="G16" s="347">
        <f ca="1">IF((1+F16)*$H$3=假设及结论!$I$15,$G$6,$G16)</f>
        <v>0</v>
      </c>
      <c r="H16" s="347">
        <f ca="1">IF((1+F16)*$H$3=假设及结论!$I$15,$H$6,$H16)</f>
        <v>0</v>
      </c>
      <c r="K16" s="355" t="s">
        <v>1148</v>
      </c>
      <c r="L16" s="355"/>
      <c r="M16" s="355"/>
      <c r="N16" s="355"/>
      <c r="O16" s="355"/>
      <c r="P16" s="355"/>
      <c r="Q16" s="355"/>
      <c r="R16" s="355"/>
    </row>
    <row r="17" ht="25" customHeight="1" spans="5:18">
      <c r="E17" s="345" t="s">
        <v>1130</v>
      </c>
      <c r="F17" s="346">
        <v>-0.15</v>
      </c>
      <c r="G17" s="347">
        <f ca="1">IF((1+F17)*$H$3=假设及结论!$I$15,$G$6,$G17)</f>
        <v>0</v>
      </c>
      <c r="H17" s="347">
        <f ca="1">IF((1+F17)*$H$3=假设及结论!$I$15,$H$6,$H17)</f>
        <v>0</v>
      </c>
      <c r="K17" s="356" t="s">
        <v>1149</v>
      </c>
      <c r="L17" s="356" t="s">
        <v>1150</v>
      </c>
      <c r="M17" s="357" t="s">
        <v>1151</v>
      </c>
      <c r="N17" s="358"/>
      <c r="O17" s="356" t="s">
        <v>1152</v>
      </c>
      <c r="P17" s="356" t="s">
        <v>1153</v>
      </c>
      <c r="Q17" s="359" t="s">
        <v>64</v>
      </c>
      <c r="R17" s="360"/>
    </row>
    <row r="18" ht="36.75" spans="5:18">
      <c r="E18" s="354"/>
      <c r="F18" s="352">
        <v>-0.2</v>
      </c>
      <c r="G18" s="347">
        <f ca="1">IF((1+F18)*$H$3=假设及结论!$I$15,$G$6,$G18)</f>
        <v>0</v>
      </c>
      <c r="H18" s="347">
        <f ca="1">IF((1+F18)*$H$3=假设及结论!$I$15,$H$6,$H18)</f>
        <v>0</v>
      </c>
      <c r="K18" s="361"/>
      <c r="L18" s="361"/>
      <c r="M18" s="362" t="s">
        <v>1154</v>
      </c>
      <c r="N18" s="362" t="s">
        <v>1155</v>
      </c>
      <c r="O18" s="361"/>
      <c r="P18" s="361"/>
      <c r="Q18" s="363"/>
      <c r="R18" s="364"/>
    </row>
    <row r="19" ht="21.15" spans="5:18">
      <c r="E19" s="345"/>
      <c r="F19" s="346">
        <v>0.1</v>
      </c>
      <c r="G19" s="347" t="e">
        <f ca="1">IF((1+F19)*$H$4=假设及结论!$I$13,$G$6,$G19)</f>
        <v>#NUM!</v>
      </c>
      <c r="H19" s="347" t="e">
        <f ca="1">IF((1+F19)*$H$4=假设及结论!$I$13,$H$6,$H19)</f>
        <v>#NUM!</v>
      </c>
      <c r="K19" s="365">
        <v>285040</v>
      </c>
      <c r="L19" s="366">
        <v>280000</v>
      </c>
      <c r="M19" s="367" t="s">
        <v>244</v>
      </c>
      <c r="N19" s="368" t="s">
        <v>1156</v>
      </c>
      <c r="O19" s="369">
        <v>0.117043992723608</v>
      </c>
      <c r="P19" s="369">
        <v>0.270064730318921</v>
      </c>
      <c r="Q19" s="370" t="s">
        <v>1157</v>
      </c>
      <c r="R19" s="371"/>
    </row>
    <row r="20" ht="21.15" spans="5:18">
      <c r="E20" s="345" t="s">
        <v>1158</v>
      </c>
      <c r="F20" s="352">
        <v>0.05</v>
      </c>
      <c r="G20" s="347" t="e">
        <f ca="1">IF((1+F20)*$H$4=假设及结论!$I$13,$G$6,$G20)</f>
        <v>#NUM!</v>
      </c>
      <c r="H20" s="347" t="e">
        <f ca="1">IF((1+F20)*$H$4=假设及结论!$I$13,$H$6,$H20)</f>
        <v>#NUM!</v>
      </c>
      <c r="K20" s="365">
        <v>363200</v>
      </c>
      <c r="L20" s="368">
        <v>356777.996070727</v>
      </c>
      <c r="M20" s="367" t="s">
        <v>244</v>
      </c>
      <c r="N20" s="368" t="s">
        <v>1156</v>
      </c>
      <c r="O20" s="369">
        <v>0.085029657066396</v>
      </c>
      <c r="P20" s="369">
        <v>0.155984823611182</v>
      </c>
      <c r="Q20" s="370" t="s">
        <v>1159</v>
      </c>
      <c r="R20" s="371"/>
    </row>
    <row r="21" ht="21.15" spans="5:18">
      <c r="E21" s="345" t="s">
        <v>1130</v>
      </c>
      <c r="F21" s="346">
        <v>-0.05</v>
      </c>
      <c r="G21" s="347" t="e">
        <f ca="1">IF((1+F21)*$H$4=假设及结论!$I$13,$G$6,$G21)</f>
        <v>#NUM!</v>
      </c>
      <c r="H21" s="347" t="e">
        <f ca="1">IF((1+F21)*$H$4=假设及结论!$I$13,$H$6,$H21)</f>
        <v>#NUM!</v>
      </c>
      <c r="K21" s="365"/>
      <c r="L21" s="368"/>
      <c r="M21" s="368"/>
      <c r="N21" s="368"/>
      <c r="O21" s="369"/>
      <c r="P21" s="369"/>
      <c r="Q21" s="370"/>
      <c r="R21" s="371"/>
    </row>
    <row r="22" ht="18.35" spans="5:18">
      <c r="E22" s="354"/>
      <c r="F22" s="352">
        <v>-0.1</v>
      </c>
      <c r="G22" s="347" t="e">
        <f ca="1">IF((1+F22)*$H$4=假设及结论!$I$13,$G$6,$G22)</f>
        <v>#NUM!</v>
      </c>
      <c r="H22" s="347" t="e">
        <f ca="1">IF((1+F22)*$H$4=假设及结论!$I$13,$H$6,$H22)</f>
        <v>#NUM!</v>
      </c>
      <c r="K22" s="372"/>
      <c r="L22" s="372"/>
      <c r="M22" s="373" t="str">
        <f>"带储能 "&amp;假设及结论!E18*100&amp;"%"</f>
        <v>带储能 30%</v>
      </c>
      <c r="N22" s="374"/>
      <c r="O22" s="375"/>
      <c r="P22" s="375"/>
      <c r="Q22" s="370"/>
      <c r="R22" s="371"/>
    </row>
    <row r="23" ht="20.4" spans="5:18">
      <c r="K23" s="365">
        <v>305281.426918337</v>
      </c>
      <c r="L23" s="366">
        <v>280000</v>
      </c>
      <c r="M23" s="368">
        <v>1</v>
      </c>
      <c r="N23" s="372">
        <v>19686.6051975128</v>
      </c>
      <c r="O23" s="369">
        <v>0.111654865760868</v>
      </c>
      <c r="P23" s="369">
        <v>0.237340291672122</v>
      </c>
      <c r="Q23" s="370" t="s">
        <v>1160</v>
      </c>
      <c r="R23" s="371"/>
    </row>
    <row r="24" ht="20.4" spans="5:18">
      <c r="K24" s="365">
        <v>395259.513202896</v>
      </c>
      <c r="L24" s="368">
        <v>368762.278978389</v>
      </c>
      <c r="M24" s="368">
        <v>1</v>
      </c>
      <c r="N24" s="372">
        <v>19315.1598164277</v>
      </c>
      <c r="O24" s="376">
        <v>0.0849775479720289</v>
      </c>
      <c r="P24" s="369">
        <v>0.148943397258779</v>
      </c>
      <c r="Q24" s="370" t="s">
        <v>1161</v>
      </c>
      <c r="R24" s="371"/>
    </row>
    <row r="25" ht="20.4" spans="5:18">
      <c r="K25" s="365">
        <v>379559.513202896</v>
      </c>
      <c r="L25" s="368">
        <v>353339.882121807</v>
      </c>
      <c r="M25" s="368">
        <v>1</v>
      </c>
      <c r="N25" s="372">
        <v>19315.1598164277</v>
      </c>
      <c r="O25" s="376">
        <v>0.0900148799024205</v>
      </c>
      <c r="P25" s="369">
        <v>0.163716857162862</v>
      </c>
      <c r="Q25" s="370" t="s">
        <v>1162</v>
      </c>
      <c r="R25" s="371"/>
    </row>
    <row r="26" ht="20.4" spans="5:18">
      <c r="K26" s="365">
        <v>351459.513202896</v>
      </c>
      <c r="L26" s="368">
        <v>325736.73870334</v>
      </c>
      <c r="M26" s="368">
        <v>1</v>
      </c>
      <c r="N26" s="372">
        <v>19315.1598164277</v>
      </c>
      <c r="O26" s="376">
        <v>0.0999569164565695</v>
      </c>
      <c r="P26" s="369">
        <v>0.194750267991056</v>
      </c>
      <c r="Q26" s="370" t="s">
        <v>1161</v>
      </c>
      <c r="R26" s="371"/>
    </row>
    <row r="27" spans="5:18">
      <c r="Q27" s="1"/>
      <c r="R27" s="1"/>
    </row>
    <row r="28" spans="5:18">
      <c r="K28" s="372" t="s">
        <v>1163</v>
      </c>
      <c r="L28" s="372"/>
      <c r="M28" s="372"/>
      <c r="N28" s="372"/>
      <c r="O28" s="375"/>
      <c r="P28" s="375"/>
      <c r="Q28" s="370"/>
      <c r="R28" s="371"/>
    </row>
    <row r="29" ht="20.4" spans="5:18">
      <c r="K29" s="365">
        <f>假设及结论!B$7</f>
        <v>267947.357144546</v>
      </c>
      <c r="L29" s="368">
        <f>假设及结论!F7</f>
        <v>247200</v>
      </c>
      <c r="M29" s="368">
        <f>IF(假设及结论!D18=0,"无储能",假设及结论!D18)</f>
        <v>1</v>
      </c>
      <c r="N29" s="372">
        <f>假设及结论!E9</f>
        <v>15851.0322322667</v>
      </c>
      <c r="O29" s="369">
        <f>假设及结论!$G$9</f>
        <v>0.115992191541394</v>
      </c>
      <c r="P29" s="369">
        <f>假设及结论!$G$7</f>
        <v>0.210528646760078</v>
      </c>
      <c r="Q29" s="370"/>
      <c r="R29" s="371"/>
    </row>
    <row r="31" ht="21" spans="5:18">
      <c r="K31" s="355" t="s">
        <v>1164</v>
      </c>
      <c r="L31" s="355"/>
      <c r="M31" s="355"/>
      <c r="N31" s="355"/>
      <c r="O31" s="355"/>
      <c r="P31" s="355"/>
      <c r="Q31" s="355"/>
      <c r="R31" s="355"/>
    </row>
    <row r="32" spans="5:18">
      <c r="K32" s="356" t="s">
        <v>1149</v>
      </c>
      <c r="L32" s="356" t="s">
        <v>1150</v>
      </c>
      <c r="M32" s="357" t="s">
        <v>1151</v>
      </c>
      <c r="N32" s="358"/>
      <c r="O32" s="356" t="s">
        <v>1152</v>
      </c>
      <c r="P32" s="356" t="s">
        <v>1153</v>
      </c>
      <c r="Q32" s="359" t="s">
        <v>64</v>
      </c>
      <c r="R32" s="360"/>
    </row>
    <row r="33" ht="36" spans="9:18">
      <c r="K33" s="361"/>
      <c r="L33" s="361"/>
      <c r="M33" s="362" t="s">
        <v>1154</v>
      </c>
      <c r="N33" s="362" t="s">
        <v>1155</v>
      </c>
      <c r="O33" s="361"/>
      <c r="P33" s="361"/>
      <c r="Q33" s="363"/>
      <c r="R33" s="364"/>
    </row>
    <row r="34" ht="20.4" spans="9:18">
      <c r="I34" s="377" t="s">
        <v>1165</v>
      </c>
      <c r="J34" s="377"/>
      <c r="K34" s="365">
        <v>395259.513202896</v>
      </c>
      <c r="L34" s="368">
        <v>368762.278978389</v>
      </c>
      <c r="M34" s="368">
        <v>1</v>
      </c>
      <c r="N34" s="372">
        <v>19315.1598164277</v>
      </c>
      <c r="O34" s="376">
        <v>0.0849775479720289</v>
      </c>
      <c r="P34" s="369">
        <v>0.148943397258779</v>
      </c>
      <c r="Q34" s="370" t="s">
        <v>1161</v>
      </c>
      <c r="R34" s="371"/>
    </row>
    <row r="35" ht="20.4" spans="9:18">
      <c r="I35" s="378"/>
      <c r="J35" s="378"/>
      <c r="K35" s="365">
        <v>379559.513202896</v>
      </c>
      <c r="L35" s="368">
        <v>353339.882121807</v>
      </c>
      <c r="M35" s="368">
        <v>1</v>
      </c>
      <c r="N35" s="372">
        <v>19315.1598164277</v>
      </c>
      <c r="O35" s="376">
        <v>0.0900148799024205</v>
      </c>
      <c r="P35" s="369">
        <v>0.163716857162862</v>
      </c>
      <c r="Q35" s="370" t="s">
        <v>1162</v>
      </c>
      <c r="R35" s="371"/>
    </row>
    <row r="36" ht="20.4" spans="9:18">
      <c r="I36" s="218"/>
      <c r="J36" s="218"/>
      <c r="K36" s="365">
        <v>351459.513202896</v>
      </c>
      <c r="L36" s="368">
        <v>325736.73870334</v>
      </c>
      <c r="M36" s="368">
        <v>1</v>
      </c>
      <c r="N36" s="372">
        <v>19315.1598164277</v>
      </c>
      <c r="O36" s="376">
        <v>0.0999569164565695</v>
      </c>
      <c r="P36" s="369">
        <v>0.194750267991056</v>
      </c>
      <c r="Q36" s="370" t="s">
        <v>1161</v>
      </c>
      <c r="R36" s="371"/>
    </row>
    <row r="37" spans="9:18">
      <c r="K37" s="372"/>
      <c r="L37" s="372"/>
      <c r="M37" s="373"/>
      <c r="N37" s="374"/>
      <c r="O37" s="375"/>
      <c r="P37" s="375"/>
      <c r="Q37" s="370"/>
      <c r="R37" s="371"/>
    </row>
    <row r="38" ht="20.4" spans="9:18">
      <c r="I38" s="377" t="s">
        <v>1166</v>
      </c>
      <c r="J38" s="377"/>
      <c r="K38" s="365">
        <f>假设及结论!B$7</f>
        <v>267947.357144546</v>
      </c>
      <c r="L38" s="368">
        <f>假设及结论!F16</f>
        <v>0</v>
      </c>
      <c r="M38" s="368">
        <f>IF(假设及结论!D27=0,"无储能",假设及结论!D27)</f>
        <v>23</v>
      </c>
      <c r="N38" s="372">
        <f>假设及结论!E18</f>
        <v>0.3</v>
      </c>
      <c r="O38" s="369">
        <f>假设及结论!G$9</f>
        <v>0.115992191541394</v>
      </c>
      <c r="P38" s="369">
        <f>假设及结论!G$7</f>
        <v>0.210528646760078</v>
      </c>
      <c r="Q38" s="370"/>
      <c r="R38" s="371"/>
    </row>
    <row r="39" ht="20.4" spans="9:18">
      <c r="I39" s="378"/>
      <c r="J39" s="378"/>
      <c r="K39" s="365">
        <v>325413.01966264</v>
      </c>
      <c r="L39" s="366">
        <v>280000</v>
      </c>
      <c r="M39" s="368">
        <v>2</v>
      </c>
      <c r="N39" s="372">
        <v>39266.3867985409</v>
      </c>
      <c r="O39" s="369">
        <v>0.0862591006476332</v>
      </c>
      <c r="P39" s="369">
        <v>0.152112589260732</v>
      </c>
      <c r="Q39" s="370" t="s">
        <v>1160</v>
      </c>
      <c r="R39" s="371"/>
    </row>
    <row r="40" ht="20.4" spans="9:18">
      <c r="I40" s="218"/>
      <c r="J40" s="218"/>
      <c r="K40" s="365">
        <v>327841.426918337</v>
      </c>
      <c r="L40" s="368">
        <v>302161.100196464</v>
      </c>
      <c r="M40" s="368">
        <v>1</v>
      </c>
      <c r="N40" s="372">
        <v>19686.6051975128</v>
      </c>
      <c r="O40" s="376">
        <v>0.0849761839516778</v>
      </c>
      <c r="P40" s="369">
        <v>0.150062931000803</v>
      </c>
      <c r="Q40" s="370" t="s">
        <v>1161</v>
      </c>
      <c r="R40" s="371"/>
    </row>
    <row r="41" ht="20.4" spans="9:18">
      <c r="I41" s="379"/>
      <c r="J41" s="379"/>
      <c r="K41" s="365">
        <v>328873.01966264</v>
      </c>
      <c r="L41" s="368">
        <v>283398.821218075</v>
      </c>
      <c r="M41" s="368">
        <v>2</v>
      </c>
      <c r="N41" s="372">
        <v>39266.3867985409</v>
      </c>
      <c r="O41" s="376">
        <v>0.0849618062930111</v>
      </c>
      <c r="P41" s="369">
        <v>0.148384568265828</v>
      </c>
      <c r="Q41" s="370" t="s">
        <v>1161</v>
      </c>
      <c r="R41" s="371"/>
    </row>
    <row r="44" spans="9:18">
      <c r="K44" s="356" t="s">
        <v>1149</v>
      </c>
      <c r="L44" s="356" t="s">
        <v>1150</v>
      </c>
      <c r="M44" s="357" t="s">
        <v>1151</v>
      </c>
      <c r="N44" s="358"/>
      <c r="O44" s="356" t="s">
        <v>1152</v>
      </c>
      <c r="P44" s="356" t="s">
        <v>1153</v>
      </c>
      <c r="Q44" s="359" t="s">
        <v>64</v>
      </c>
      <c r="R44" s="360"/>
    </row>
    <row r="45" ht="36" spans="9:18">
      <c r="K45" s="361"/>
      <c r="L45" s="361"/>
      <c r="M45" s="362" t="s">
        <v>1154</v>
      </c>
      <c r="N45" s="362" t="s">
        <v>1155</v>
      </c>
      <c r="O45" s="361"/>
      <c r="P45" s="361"/>
      <c r="Q45" s="363"/>
      <c r="R45" s="364"/>
    </row>
    <row r="46" ht="20.4" spans="9:18">
      <c r="K46" s="365">
        <f>假设及结论!B$7</f>
        <v>267947.357144546</v>
      </c>
    </row>
  </sheetData>
  <mergeCells count="48">
    <mergeCell ref="E2:H2"/>
    <mergeCell ref="E8:H8"/>
    <mergeCell ref="K8:R8"/>
    <mergeCell ref="E10:F10"/>
    <mergeCell ref="K16:R16"/>
    <mergeCell ref="M17:N17"/>
    <mergeCell ref="Q19:R19"/>
    <mergeCell ref="Q20:R20"/>
    <mergeCell ref="M22:N22"/>
    <mergeCell ref="Q22:R22"/>
    <mergeCell ref="Q23:R23"/>
    <mergeCell ref="Q24:R24"/>
    <mergeCell ref="Q25:R25"/>
    <mergeCell ref="Q26:R26"/>
    <mergeCell ref="Q27:R27"/>
    <mergeCell ref="Q28:R28"/>
    <mergeCell ref="Q29:R29"/>
    <mergeCell ref="K31:R31"/>
    <mergeCell ref="M32:N32"/>
    <mergeCell ref="Q34:R34"/>
    <mergeCell ref="Q35:R35"/>
    <mergeCell ref="Q36:R36"/>
    <mergeCell ref="M37:N37"/>
    <mergeCell ref="Q37:R37"/>
    <mergeCell ref="Q38:R38"/>
    <mergeCell ref="Q39:R39"/>
    <mergeCell ref="Q40:R40"/>
    <mergeCell ref="Q41:R41"/>
    <mergeCell ref="M44:N44"/>
    <mergeCell ref="I34:I36"/>
    <mergeCell ref="I38:I40"/>
    <mergeCell ref="K9:K10"/>
    <mergeCell ref="K17:K18"/>
    <mergeCell ref="K32:K33"/>
    <mergeCell ref="K44:K45"/>
    <mergeCell ref="L9:L10"/>
    <mergeCell ref="L17:L18"/>
    <mergeCell ref="L32:L33"/>
    <mergeCell ref="L44:L45"/>
    <mergeCell ref="O17:O18"/>
    <mergeCell ref="O32:O33"/>
    <mergeCell ref="O44:O45"/>
    <mergeCell ref="P17:P18"/>
    <mergeCell ref="P32:P33"/>
    <mergeCell ref="P44:P45"/>
    <mergeCell ref="Q17:R18"/>
    <mergeCell ref="Q32:R33"/>
    <mergeCell ref="Q44:R45"/>
  </mergeCells>
  <pageMargins left="0.75" right="0.75" top="1" bottom="1" header="0.511805555555556" footer="0.511805555555556"/>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4"/>
  <sheetViews>
    <sheetView zoomScale="88" zoomScaleNormal="88" topLeftCell="A15" workbookViewId="0">
      <selection activeCell="I44" sqref="I44"/>
    </sheetView>
  </sheetViews>
  <sheetFormatPr defaultColWidth="9" defaultRowHeight="13.6"/>
  <cols>
    <col min="1" max="1" width="5.5" style="273" customWidth="1"/>
    <col min="2" max="2" width="26.1696428571429" style="276" customWidth="1"/>
    <col min="3" max="3" width="36.6696428571429" style="277" customWidth="1"/>
    <col min="4" max="4" width="3.83035714285714" style="273" customWidth="1"/>
    <col min="5" max="5" width="9.33035714285714" style="273" customWidth="1"/>
    <col min="6" max="6" width="8.53571428571429" style="273" customWidth="1"/>
    <col min="7" max="7" width="11.8303571428571" style="278" customWidth="1"/>
    <col min="8" max="8" width="11.8303571428571" style="273" customWidth="1"/>
    <col min="9" max="9" width="11.3303571428571" style="273"/>
    <col min="10" max="10" width="10.6696428571429" style="273"/>
    <col min="11" max="256" width="8.66964285714286" style="273"/>
    <col min="257" max="16384" width="9" style="273"/>
  </cols>
  <sheetData>
    <row r="1" s="273" customFormat="1" ht="17.6" spans="1:9">
      <c r="A1" s="279" t="s">
        <v>1167</v>
      </c>
      <c r="B1" s="279"/>
      <c r="C1" s="279"/>
      <c r="D1" s="279"/>
      <c r="E1" s="279"/>
      <c r="F1" s="279"/>
      <c r="G1" s="279"/>
      <c r="H1" s="279"/>
    </row>
    <row r="2" s="273" customFormat="1" ht="55" spans="1:9">
      <c r="A2" s="280" t="s">
        <v>1168</v>
      </c>
      <c r="B2" s="280" t="s">
        <v>1169</v>
      </c>
      <c r="C2" s="280" t="s">
        <v>1170</v>
      </c>
      <c r="D2" s="280" t="s">
        <v>1171</v>
      </c>
      <c r="E2" s="280" t="s">
        <v>1172</v>
      </c>
      <c r="F2" s="280" t="s">
        <v>1173</v>
      </c>
      <c r="G2" s="281" t="s">
        <v>1174</v>
      </c>
      <c r="H2" s="280" t="s">
        <v>1175</v>
      </c>
    </row>
    <row r="3" s="274" customFormat="1" ht="41" spans="1:9">
      <c r="A3" s="280" t="s">
        <v>1176</v>
      </c>
      <c r="B3" s="282" t="s">
        <v>1177</v>
      </c>
      <c r="C3" s="280"/>
      <c r="D3" s="283"/>
      <c r="E3" s="283"/>
      <c r="F3" s="283"/>
      <c r="G3" s="284"/>
      <c r="H3" s="283"/>
    </row>
    <row r="4" s="273" customFormat="1" ht="55" spans="1:9">
      <c r="A4" s="285">
        <v>1</v>
      </c>
      <c r="B4" s="286" t="s">
        <v>1178</v>
      </c>
      <c r="C4" s="287" t="s">
        <v>1179</v>
      </c>
      <c r="D4" s="288" t="s">
        <v>515</v>
      </c>
      <c r="E4" s="289">
        <v>750000000</v>
      </c>
      <c r="F4" s="290">
        <v>0.9</v>
      </c>
      <c r="G4" s="289">
        <f t="shared" ref="G4:G10" si="0">F4*E4/10000</f>
        <v>67500</v>
      </c>
      <c r="H4" s="290">
        <f t="shared" ref="H4:H11" si="1">G4/$E$4*10000</f>
        <v>0.9</v>
      </c>
    </row>
    <row r="5" s="273" customFormat="1" ht="55" spans="1:9">
      <c r="A5" s="291">
        <v>2</v>
      </c>
      <c r="B5" s="292" t="s">
        <v>1180</v>
      </c>
      <c r="C5" s="287" t="s">
        <v>1181</v>
      </c>
      <c r="D5" s="288" t="s">
        <v>515</v>
      </c>
      <c r="E5" s="289">
        <v>750000000</v>
      </c>
      <c r="F5" s="290">
        <v>0.1</v>
      </c>
      <c r="G5" s="289">
        <f t="shared" si="0"/>
        <v>7500</v>
      </c>
      <c r="H5" s="290">
        <f t="shared" si="1"/>
        <v>0.1</v>
      </c>
    </row>
    <row r="6" s="273" customFormat="1" ht="14" spans="1:9">
      <c r="A6" s="285">
        <v>3</v>
      </c>
      <c r="B6" s="292" t="s">
        <v>227</v>
      </c>
      <c r="C6" s="287"/>
      <c r="D6" s="288" t="s">
        <v>515</v>
      </c>
      <c r="E6" s="289">
        <v>750000000</v>
      </c>
      <c r="F6" s="290">
        <v>0.13</v>
      </c>
      <c r="G6" s="289">
        <f t="shared" si="0"/>
        <v>9750</v>
      </c>
      <c r="H6" s="290">
        <f t="shared" si="1"/>
        <v>0.13</v>
      </c>
    </row>
    <row r="7" s="273" customFormat="1" ht="28" spans="1:9">
      <c r="A7" s="291">
        <v>4</v>
      </c>
      <c r="B7" s="286" t="s">
        <v>1182</v>
      </c>
      <c r="C7" s="293" t="s">
        <v>1183</v>
      </c>
      <c r="D7" s="288" t="s">
        <v>515</v>
      </c>
      <c r="E7" s="289">
        <v>750000000</v>
      </c>
      <c r="F7" s="290">
        <v>0.24</v>
      </c>
      <c r="G7" s="289">
        <f t="shared" si="0"/>
        <v>18000</v>
      </c>
      <c r="H7" s="290">
        <f t="shared" si="1"/>
        <v>0.24</v>
      </c>
    </row>
    <row r="8" s="273" customFormat="1" ht="28" spans="1:9">
      <c r="A8" s="285">
        <v>5</v>
      </c>
      <c r="B8" s="286" t="s">
        <v>1184</v>
      </c>
      <c r="C8" s="293"/>
      <c r="D8" s="288" t="s">
        <v>515</v>
      </c>
      <c r="E8" s="289">
        <v>750000000</v>
      </c>
      <c r="F8" s="290">
        <v>0.09</v>
      </c>
      <c r="G8" s="289">
        <f t="shared" si="0"/>
        <v>6750</v>
      </c>
      <c r="H8" s="290">
        <f t="shared" si="1"/>
        <v>0.09</v>
      </c>
    </row>
    <row r="9" s="273" customFormat="1" ht="68" spans="1:9">
      <c r="A9" s="291">
        <v>6</v>
      </c>
      <c r="B9" s="294" t="s">
        <v>1185</v>
      </c>
      <c r="C9" s="295" t="s">
        <v>1186</v>
      </c>
      <c r="D9" s="288" t="s">
        <v>515</v>
      </c>
      <c r="E9" s="289">
        <v>750000000</v>
      </c>
      <c r="F9" s="290">
        <v>0.23</v>
      </c>
      <c r="G9" s="289">
        <f t="shared" si="0"/>
        <v>17250</v>
      </c>
      <c r="H9" s="290">
        <f t="shared" si="1"/>
        <v>0.23</v>
      </c>
    </row>
    <row r="10" s="273" customFormat="1" ht="41" spans="1:9">
      <c r="A10" s="285">
        <v>7</v>
      </c>
      <c r="B10" s="293" t="s">
        <v>1187</v>
      </c>
      <c r="C10" s="287" t="s">
        <v>1188</v>
      </c>
      <c r="D10" s="288" t="s">
        <v>515</v>
      </c>
      <c r="E10" s="289">
        <v>750000000</v>
      </c>
      <c r="F10" s="290">
        <v>0.01</v>
      </c>
      <c r="G10" s="289">
        <f t="shared" si="0"/>
        <v>750</v>
      </c>
      <c r="H10" s="290">
        <f t="shared" si="1"/>
        <v>0.01</v>
      </c>
    </row>
    <row r="11" s="274" customFormat="1" ht="28" spans="1:9">
      <c r="A11" s="283"/>
      <c r="B11" s="282" t="s">
        <v>1189</v>
      </c>
      <c r="C11" s="282"/>
      <c r="D11" s="283"/>
      <c r="E11" s="283"/>
      <c r="F11" s="296"/>
      <c r="G11" s="284">
        <f>SUM(G4:G10)</f>
        <v>127500</v>
      </c>
      <c r="H11" s="296">
        <f t="shared" si="1"/>
        <v>1.7</v>
      </c>
    </row>
    <row r="12" s="274" customFormat="1" ht="28" spans="1:9">
      <c r="A12" s="280" t="s">
        <v>1190</v>
      </c>
      <c r="B12" s="282" t="s">
        <v>1191</v>
      </c>
      <c r="C12" s="282"/>
      <c r="D12" s="283"/>
      <c r="E12" s="283"/>
      <c r="F12" s="296"/>
      <c r="G12" s="284"/>
      <c r="H12" s="290"/>
    </row>
    <row r="13" s="274" customFormat="1" ht="28" spans="1:9">
      <c r="A13" s="297">
        <v>1</v>
      </c>
      <c r="B13" s="286" t="s">
        <v>1192</v>
      </c>
      <c r="C13" s="282"/>
      <c r="D13" s="288" t="s">
        <v>515</v>
      </c>
      <c r="E13" s="289">
        <v>750000000</v>
      </c>
      <c r="F13" s="298">
        <v>0.005</v>
      </c>
      <c r="G13" s="299">
        <f t="shared" ref="G13:G24" si="2">F13*E13/10000</f>
        <v>375</v>
      </c>
      <c r="H13" s="300">
        <f t="shared" ref="H13:H25" si="3">G13/$E$4*10000</f>
        <v>0.005</v>
      </c>
    </row>
    <row r="14" s="273" customFormat="1" ht="28" spans="1:9">
      <c r="A14" s="297">
        <v>2</v>
      </c>
      <c r="B14" s="286" t="s">
        <v>1193</v>
      </c>
      <c r="C14" s="301" t="s">
        <v>1194</v>
      </c>
      <c r="D14" s="288" t="s">
        <v>515</v>
      </c>
      <c r="E14" s="289">
        <v>750000000</v>
      </c>
      <c r="F14" s="298">
        <v>0.07</v>
      </c>
      <c r="G14" s="299">
        <f t="shared" si="2"/>
        <v>5250</v>
      </c>
      <c r="H14" s="300">
        <f t="shared" si="3"/>
        <v>0.07</v>
      </c>
    </row>
    <row r="15" s="273" customFormat="1" ht="41" spans="1:9">
      <c r="A15" s="297">
        <v>3</v>
      </c>
      <c r="B15" s="286" t="s">
        <v>1195</v>
      </c>
      <c r="C15" s="301" t="s">
        <v>1196</v>
      </c>
      <c r="D15" s="288" t="s">
        <v>515</v>
      </c>
      <c r="E15" s="289">
        <v>750000000</v>
      </c>
      <c r="F15" s="298">
        <v>0.21</v>
      </c>
      <c r="G15" s="299">
        <f t="shared" si="2"/>
        <v>15750</v>
      </c>
      <c r="H15" s="300">
        <f t="shared" si="3"/>
        <v>0.21</v>
      </c>
      <c r="I15" s="302">
        <v>0.3</v>
      </c>
    </row>
    <row r="16" s="275" customFormat="1" ht="28" spans="1:9">
      <c r="A16" s="297">
        <v>4</v>
      </c>
      <c r="B16" s="286" t="s">
        <v>1197</v>
      </c>
      <c r="C16" s="301" t="s">
        <v>1198</v>
      </c>
      <c r="D16" s="288" t="s">
        <v>515</v>
      </c>
      <c r="E16" s="289">
        <v>750000000</v>
      </c>
      <c r="F16" s="298">
        <v>0.13</v>
      </c>
      <c r="G16" s="299">
        <f t="shared" si="2"/>
        <v>9750</v>
      </c>
      <c r="H16" s="300">
        <f t="shared" si="3"/>
        <v>0.13</v>
      </c>
      <c r="I16" s="303"/>
    </row>
    <row r="17" s="275" customFormat="1" ht="41" spans="1:8">
      <c r="A17" s="297">
        <v>5</v>
      </c>
      <c r="B17" s="286" t="s">
        <v>1199</v>
      </c>
      <c r="C17" s="301" t="s">
        <v>1200</v>
      </c>
      <c r="D17" s="288" t="s">
        <v>515</v>
      </c>
      <c r="E17" s="289">
        <v>750000000</v>
      </c>
      <c r="F17" s="298">
        <v>0.01</v>
      </c>
      <c r="G17" s="299">
        <f t="shared" si="2"/>
        <v>750</v>
      </c>
      <c r="H17" s="300">
        <f t="shared" si="3"/>
        <v>0.01</v>
      </c>
    </row>
    <row r="18" s="275" customFormat="1" ht="41" spans="1:8">
      <c r="A18" s="297">
        <v>6</v>
      </c>
      <c r="B18" s="286" t="s">
        <v>1201</v>
      </c>
      <c r="C18" s="301" t="s">
        <v>1202</v>
      </c>
      <c r="D18" s="288" t="s">
        <v>515</v>
      </c>
      <c r="E18" s="289">
        <v>750000000</v>
      </c>
      <c r="F18" s="298">
        <v>0.008</v>
      </c>
      <c r="G18" s="299">
        <f t="shared" si="2"/>
        <v>600</v>
      </c>
      <c r="H18" s="300">
        <f t="shared" si="3"/>
        <v>0.008</v>
      </c>
    </row>
    <row r="19" s="275" customFormat="1" ht="41" spans="1:8">
      <c r="A19" s="297">
        <v>7</v>
      </c>
      <c r="B19" s="286" t="s">
        <v>1203</v>
      </c>
      <c r="C19" s="301" t="s">
        <v>1204</v>
      </c>
      <c r="D19" s="288" t="s">
        <v>515</v>
      </c>
      <c r="E19" s="289">
        <v>750000000</v>
      </c>
      <c r="F19" s="298">
        <v>0.008</v>
      </c>
      <c r="G19" s="299">
        <f t="shared" si="2"/>
        <v>600</v>
      </c>
      <c r="H19" s="300">
        <f t="shared" si="3"/>
        <v>0.008</v>
      </c>
    </row>
    <row r="20" s="275" customFormat="1" ht="28" spans="1:8">
      <c r="A20" s="297">
        <v>8</v>
      </c>
      <c r="B20" s="286" t="s">
        <v>1205</v>
      </c>
      <c r="C20" s="301" t="s">
        <v>1206</v>
      </c>
      <c r="D20" s="288" t="s">
        <v>515</v>
      </c>
      <c r="E20" s="289">
        <v>750000000</v>
      </c>
      <c r="F20" s="298">
        <v>0.01</v>
      </c>
      <c r="G20" s="299">
        <f t="shared" si="2"/>
        <v>750</v>
      </c>
      <c r="H20" s="300">
        <f t="shared" si="3"/>
        <v>0.01</v>
      </c>
    </row>
    <row r="21" s="275" customFormat="1" ht="28" spans="1:8">
      <c r="A21" s="297">
        <v>9</v>
      </c>
      <c r="B21" s="286" t="s">
        <v>1207</v>
      </c>
      <c r="C21" s="301" t="s">
        <v>1208</v>
      </c>
      <c r="D21" s="288" t="s">
        <v>515</v>
      </c>
      <c r="E21" s="289">
        <v>750000000</v>
      </c>
      <c r="F21" s="298">
        <v>0.035</v>
      </c>
      <c r="G21" s="299">
        <f t="shared" si="2"/>
        <v>2625</v>
      </c>
      <c r="H21" s="300">
        <f t="shared" si="3"/>
        <v>0.035</v>
      </c>
    </row>
    <row r="22" s="275" customFormat="1" ht="28" spans="1:8">
      <c r="A22" s="297">
        <v>10</v>
      </c>
      <c r="B22" s="301" t="s">
        <v>1209</v>
      </c>
      <c r="C22" s="301"/>
      <c r="D22" s="304" t="s">
        <v>1210</v>
      </c>
      <c r="E22" s="285">
        <v>1</v>
      </c>
      <c r="F22" s="299">
        <v>2300000</v>
      </c>
      <c r="G22" s="299">
        <f t="shared" si="2"/>
        <v>230</v>
      </c>
      <c r="H22" s="300">
        <f t="shared" si="3"/>
        <v>0.00306666666666667</v>
      </c>
    </row>
    <row r="23" s="275" customFormat="1" ht="41" spans="1:8">
      <c r="A23" s="297">
        <v>11</v>
      </c>
      <c r="B23" s="301" t="s">
        <v>1211</v>
      </c>
      <c r="C23" s="301" t="s">
        <v>1212</v>
      </c>
      <c r="D23" s="304" t="s">
        <v>1210</v>
      </c>
      <c r="E23" s="285">
        <v>1</v>
      </c>
      <c r="F23" s="299">
        <v>12000000</v>
      </c>
      <c r="G23" s="299">
        <f t="shared" si="2"/>
        <v>1200</v>
      </c>
      <c r="H23" s="300">
        <f t="shared" si="3"/>
        <v>0.016</v>
      </c>
    </row>
    <row r="24" s="275" customFormat="1" ht="41" spans="1:8">
      <c r="A24" s="297">
        <v>12</v>
      </c>
      <c r="B24" s="301" t="s">
        <v>1213</v>
      </c>
      <c r="C24" s="301"/>
      <c r="D24" s="304" t="s">
        <v>1210</v>
      </c>
      <c r="E24" s="285">
        <v>1</v>
      </c>
      <c r="F24" s="299">
        <v>6000000</v>
      </c>
      <c r="G24" s="299">
        <f t="shared" si="2"/>
        <v>600</v>
      </c>
      <c r="H24" s="300">
        <f t="shared" si="3"/>
        <v>0.008</v>
      </c>
    </row>
    <row r="25" s="274" customFormat="1" ht="28" spans="1:8">
      <c r="A25" s="285"/>
      <c r="B25" s="282" t="s">
        <v>1189</v>
      </c>
      <c r="C25" s="282"/>
      <c r="D25" s="283"/>
      <c r="E25" s="283"/>
      <c r="F25" s="283"/>
      <c r="G25" s="284">
        <f>SUM(G13:G24)</f>
        <v>38480</v>
      </c>
      <c r="H25" s="296">
        <f t="shared" si="3"/>
        <v>0.513066666666667</v>
      </c>
    </row>
    <row r="26" s="274" customFormat="1" ht="41" spans="1:8">
      <c r="A26" s="280" t="s">
        <v>1214</v>
      </c>
      <c r="B26" s="282" t="s">
        <v>1215</v>
      </c>
      <c r="C26" s="282"/>
      <c r="D26" s="283"/>
      <c r="E26" s="283"/>
      <c r="F26" s="283"/>
      <c r="G26" s="284"/>
      <c r="H26" s="290"/>
    </row>
    <row r="27" s="274" customFormat="1" ht="28" spans="1:8">
      <c r="A27" s="297">
        <v>1</v>
      </c>
      <c r="B27" s="301" t="s">
        <v>1216</v>
      </c>
      <c r="C27" s="301" t="s">
        <v>1217</v>
      </c>
      <c r="D27" s="297" t="s">
        <v>1218</v>
      </c>
      <c r="E27" s="297">
        <v>1</v>
      </c>
      <c r="F27" s="297">
        <f>0.235*750000000</f>
        <v>176250000</v>
      </c>
      <c r="G27" s="299">
        <f t="shared" ref="G27:G31" si="4">F27*E27/10000</f>
        <v>17625</v>
      </c>
      <c r="H27" s="300">
        <f t="shared" ref="H27:H32" si="5">G27/$E$4*10000</f>
        <v>0.235</v>
      </c>
    </row>
    <row r="28" s="274" customFormat="1" ht="28" spans="1:8">
      <c r="A28" s="297">
        <v>2</v>
      </c>
      <c r="B28" s="301" t="s">
        <v>1219</v>
      </c>
      <c r="C28" s="301" t="s">
        <v>1217</v>
      </c>
      <c r="D28" s="297" t="s">
        <v>1218</v>
      </c>
      <c r="E28" s="297">
        <v>1</v>
      </c>
      <c r="F28" s="297">
        <f>0.14*750000000</f>
        <v>105000000</v>
      </c>
      <c r="G28" s="299">
        <f t="shared" si="4"/>
        <v>10500</v>
      </c>
      <c r="H28" s="300">
        <f t="shared" si="5"/>
        <v>0.14</v>
      </c>
    </row>
    <row r="29" s="274" customFormat="1" ht="28" spans="1:8">
      <c r="A29" s="297">
        <v>3</v>
      </c>
      <c r="B29" s="301" t="s">
        <v>1220</v>
      </c>
      <c r="C29" s="301" t="s">
        <v>1221</v>
      </c>
      <c r="D29" s="297" t="s">
        <v>417</v>
      </c>
      <c r="E29" s="297">
        <v>1</v>
      </c>
      <c r="F29" s="297">
        <v>5000000</v>
      </c>
      <c r="G29" s="299">
        <f t="shared" si="4"/>
        <v>500</v>
      </c>
      <c r="H29" s="300">
        <f t="shared" si="5"/>
        <v>0.00666666666666667</v>
      </c>
    </row>
    <row r="30" s="274" customFormat="1" ht="28" spans="1:8">
      <c r="A30" s="297">
        <v>4</v>
      </c>
      <c r="B30" s="301" t="s">
        <v>1220</v>
      </c>
      <c r="C30" s="301" t="s">
        <v>1222</v>
      </c>
      <c r="D30" s="297" t="s">
        <v>417</v>
      </c>
      <c r="E30" s="297">
        <v>1</v>
      </c>
      <c r="F30" s="297">
        <v>3000000</v>
      </c>
      <c r="G30" s="299">
        <f t="shared" si="4"/>
        <v>300</v>
      </c>
      <c r="H30" s="300">
        <f t="shared" si="5"/>
        <v>0.004</v>
      </c>
    </row>
    <row r="31" s="274" customFormat="1" ht="28" spans="1:8">
      <c r="A31" s="297">
        <v>5</v>
      </c>
      <c r="B31" s="301" t="s">
        <v>1223</v>
      </c>
      <c r="C31" s="301"/>
      <c r="D31" s="304" t="s">
        <v>1210</v>
      </c>
      <c r="E31" s="297">
        <v>1</v>
      </c>
      <c r="F31" s="297">
        <v>8000000</v>
      </c>
      <c r="G31" s="299">
        <f t="shared" si="4"/>
        <v>800</v>
      </c>
      <c r="H31" s="300">
        <f t="shared" si="5"/>
        <v>0.0106666666666667</v>
      </c>
    </row>
    <row r="32" s="274" customFormat="1" ht="28" spans="1:8">
      <c r="A32" s="285"/>
      <c r="B32" s="305" t="s">
        <v>1189</v>
      </c>
      <c r="C32" s="293"/>
      <c r="D32" s="285"/>
      <c r="E32" s="285"/>
      <c r="F32" s="285"/>
      <c r="G32" s="284">
        <f>SUM(G27:G31)</f>
        <v>29725</v>
      </c>
      <c r="H32" s="296">
        <f t="shared" si="5"/>
        <v>0.396333333333333</v>
      </c>
    </row>
    <row r="33" s="274" customFormat="1" ht="28" spans="1:8">
      <c r="A33" s="280" t="s">
        <v>1224</v>
      </c>
      <c r="B33" s="282" t="s">
        <v>1225</v>
      </c>
      <c r="C33" s="282"/>
      <c r="D33" s="283"/>
      <c r="E33" s="283"/>
      <c r="F33" s="283"/>
      <c r="G33" s="284"/>
      <c r="H33" s="290"/>
    </row>
    <row r="34" s="273" customFormat="1" ht="28" spans="1:8">
      <c r="A34" s="285">
        <v>1</v>
      </c>
      <c r="B34" s="293" t="s">
        <v>1226</v>
      </c>
      <c r="C34" s="293"/>
      <c r="D34" s="288" t="s">
        <v>515</v>
      </c>
      <c r="E34" s="289">
        <v>750000000</v>
      </c>
      <c r="F34" s="298">
        <v>0.005</v>
      </c>
      <c r="G34" s="299">
        <f t="shared" ref="G34:G37" si="6">F34*E34/10000</f>
        <v>375</v>
      </c>
      <c r="H34" s="300">
        <f t="shared" ref="H34:H39" si="7">G34/$E$4*10000</f>
        <v>0.005</v>
      </c>
    </row>
    <row r="35" s="275" customFormat="1" ht="28" spans="1:8">
      <c r="A35" s="285">
        <v>2</v>
      </c>
      <c r="B35" s="293" t="s">
        <v>1227</v>
      </c>
      <c r="C35" s="287"/>
      <c r="D35" s="288" t="s">
        <v>515</v>
      </c>
      <c r="E35" s="289">
        <v>750000000</v>
      </c>
      <c r="F35" s="298">
        <v>0.02</v>
      </c>
      <c r="G35" s="299">
        <f t="shared" si="6"/>
        <v>1500</v>
      </c>
      <c r="H35" s="300">
        <f t="shared" si="7"/>
        <v>0.02</v>
      </c>
    </row>
    <row r="36" s="275" customFormat="1" ht="28" spans="1:8">
      <c r="A36" s="285">
        <v>3</v>
      </c>
      <c r="B36" s="293" t="s">
        <v>1228</v>
      </c>
      <c r="C36" s="287"/>
      <c r="D36" s="288" t="s">
        <v>515</v>
      </c>
      <c r="E36" s="289">
        <v>750000000</v>
      </c>
      <c r="F36" s="298">
        <v>0.023</v>
      </c>
      <c r="G36" s="299">
        <f t="shared" si="6"/>
        <v>1725</v>
      </c>
      <c r="H36" s="300">
        <f t="shared" si="7"/>
        <v>0.023</v>
      </c>
    </row>
    <row r="37" s="275" customFormat="1" ht="16.8" spans="1:8">
      <c r="A37" s="285">
        <v>4</v>
      </c>
      <c r="B37" s="293" t="s">
        <v>1229</v>
      </c>
      <c r="C37" s="287"/>
      <c r="D37" s="288" t="s">
        <v>515</v>
      </c>
      <c r="E37" s="289">
        <v>750000000</v>
      </c>
      <c r="F37" s="298">
        <v>0.02</v>
      </c>
      <c r="G37" s="299">
        <f t="shared" si="6"/>
        <v>1500</v>
      </c>
      <c r="H37" s="300">
        <f t="shared" si="7"/>
        <v>0.02</v>
      </c>
    </row>
    <row r="38" s="275" customFormat="1" ht="28" spans="1:8">
      <c r="A38" s="285">
        <v>5</v>
      </c>
      <c r="B38" s="293" t="s">
        <v>1230</v>
      </c>
      <c r="C38" s="287"/>
      <c r="D38" s="304" t="s">
        <v>1210</v>
      </c>
      <c r="E38" s="285">
        <v>1</v>
      </c>
      <c r="F38" s="290"/>
      <c r="G38" s="289">
        <v>300</v>
      </c>
      <c r="H38" s="290">
        <f t="shared" si="7"/>
        <v>0.004</v>
      </c>
    </row>
    <row r="39" s="274" customFormat="1" ht="28" spans="1:8">
      <c r="A39" s="283"/>
      <c r="B39" s="282" t="s">
        <v>1189</v>
      </c>
      <c r="C39" s="280"/>
      <c r="D39" s="283"/>
      <c r="E39" s="283"/>
      <c r="F39" s="296"/>
      <c r="G39" s="284">
        <f>SUM(G34:G38)</f>
        <v>5400</v>
      </c>
      <c r="H39" s="296">
        <f t="shared" si="7"/>
        <v>0.072</v>
      </c>
    </row>
    <row r="40" s="274" customFormat="1" ht="28" spans="1:8">
      <c r="A40" s="280" t="s">
        <v>605</v>
      </c>
      <c r="B40" s="306" t="s">
        <v>1231</v>
      </c>
      <c r="C40" s="280"/>
      <c r="D40" s="283"/>
      <c r="E40" s="283"/>
      <c r="F40" s="296"/>
      <c r="G40" s="284"/>
      <c r="H40" s="290"/>
    </row>
    <row r="41" s="274" customFormat="1" spans="1:8">
      <c r="A41" s="304">
        <v>1</v>
      </c>
      <c r="B41" s="307" t="s">
        <v>1232</v>
      </c>
      <c r="C41" s="280"/>
      <c r="D41" s="288" t="s">
        <v>515</v>
      </c>
      <c r="E41" s="289">
        <v>750000000</v>
      </c>
      <c r="F41" s="298">
        <v>0.2</v>
      </c>
      <c r="G41" s="299">
        <f t="shared" ref="G41:G44" si="8">F41*E41/10000</f>
        <v>15000</v>
      </c>
      <c r="H41" s="300">
        <f t="shared" ref="H41:H51" si="9">G41/$E$4*10000</f>
        <v>0.2</v>
      </c>
    </row>
    <row r="42" s="274" customFormat="1" spans="1:8">
      <c r="A42" s="304">
        <v>2</v>
      </c>
      <c r="B42" s="307" t="s">
        <v>1233</v>
      </c>
      <c r="C42" s="280"/>
      <c r="D42" s="288" t="s">
        <v>515</v>
      </c>
      <c r="E42" s="289">
        <v>750000000</v>
      </c>
      <c r="F42" s="298">
        <v>0.1</v>
      </c>
      <c r="G42" s="299">
        <f t="shared" si="8"/>
        <v>7500</v>
      </c>
      <c r="H42" s="300">
        <f t="shared" si="9"/>
        <v>0.1</v>
      </c>
    </row>
    <row r="43" s="274" customFormat="1" spans="1:8">
      <c r="A43" s="304">
        <v>3</v>
      </c>
      <c r="B43" s="307" t="s">
        <v>1234</v>
      </c>
      <c r="C43" s="280"/>
      <c r="D43" s="288" t="s">
        <v>515</v>
      </c>
      <c r="E43" s="289">
        <v>750000000</v>
      </c>
      <c r="F43" s="298">
        <v>0.15</v>
      </c>
      <c r="G43" s="299">
        <f t="shared" si="8"/>
        <v>11250</v>
      </c>
      <c r="H43" s="300">
        <f t="shared" si="9"/>
        <v>0.15</v>
      </c>
    </row>
    <row r="44" s="274" customFormat="1" spans="1:8">
      <c r="A44" s="304">
        <v>4</v>
      </c>
      <c r="B44" s="307" t="s">
        <v>1235</v>
      </c>
      <c r="C44" s="280"/>
      <c r="D44" s="288" t="s">
        <v>515</v>
      </c>
      <c r="E44" s="289">
        <v>750000000</v>
      </c>
      <c r="F44" s="298">
        <v>0.1</v>
      </c>
      <c r="G44" s="299">
        <f t="shared" si="8"/>
        <v>7500</v>
      </c>
      <c r="H44" s="300">
        <f t="shared" si="9"/>
        <v>0.1</v>
      </c>
    </row>
    <row r="45" s="273" customFormat="1" ht="41" spans="1:8">
      <c r="A45" s="304">
        <v>5</v>
      </c>
      <c r="B45" s="301" t="s">
        <v>1236</v>
      </c>
      <c r="C45" s="301" t="s">
        <v>1237</v>
      </c>
      <c r="D45" s="304" t="s">
        <v>1210</v>
      </c>
      <c r="E45" s="297">
        <v>1</v>
      </c>
      <c r="F45" s="299"/>
      <c r="G45" s="299">
        <v>700</v>
      </c>
      <c r="H45" s="300">
        <f t="shared" si="9"/>
        <v>0.00933333333333333</v>
      </c>
    </row>
    <row r="46" s="273" customFormat="1" ht="28" spans="1:8">
      <c r="A46" s="304">
        <v>6</v>
      </c>
      <c r="B46" s="301" t="s">
        <v>1238</v>
      </c>
      <c r="C46" s="301"/>
      <c r="D46" s="304" t="s">
        <v>1210</v>
      </c>
      <c r="E46" s="285">
        <v>1</v>
      </c>
      <c r="F46" s="299"/>
      <c r="G46" s="289">
        <v>3850</v>
      </c>
      <c r="H46" s="290">
        <f t="shared" si="9"/>
        <v>0.0513333333333333</v>
      </c>
    </row>
    <row r="47" s="273" customFormat="1" ht="28" spans="1:8">
      <c r="A47" s="304">
        <v>7</v>
      </c>
      <c r="B47" s="293" t="s">
        <v>1239</v>
      </c>
      <c r="C47" s="293"/>
      <c r="D47" s="304" t="s">
        <v>1210</v>
      </c>
      <c r="E47" s="285">
        <v>1</v>
      </c>
      <c r="F47" s="308"/>
      <c r="G47" s="289">
        <v>3200</v>
      </c>
      <c r="H47" s="290">
        <f t="shared" si="9"/>
        <v>0.0426666666666667</v>
      </c>
    </row>
    <row r="48" s="273" customFormat="1" ht="41" spans="1:8">
      <c r="A48" s="304">
        <v>8</v>
      </c>
      <c r="B48" s="293" t="s">
        <v>1240</v>
      </c>
      <c r="C48" s="293"/>
      <c r="D48" s="304" t="s">
        <v>1210</v>
      </c>
      <c r="E48" s="285">
        <v>1</v>
      </c>
      <c r="F48" s="285"/>
      <c r="G48" s="289">
        <v>300</v>
      </c>
      <c r="H48" s="290">
        <f t="shared" si="9"/>
        <v>0.004</v>
      </c>
    </row>
    <row r="49" s="273" customFormat="1" ht="28" spans="1:8">
      <c r="A49" s="304">
        <v>9</v>
      </c>
      <c r="B49" s="293" t="s">
        <v>1241</v>
      </c>
      <c r="C49" s="293"/>
      <c r="D49" s="304" t="s">
        <v>1210</v>
      </c>
      <c r="E49" s="285">
        <v>1</v>
      </c>
      <c r="F49" s="285"/>
      <c r="G49" s="289">
        <v>500</v>
      </c>
      <c r="H49" s="290">
        <f t="shared" si="9"/>
        <v>0.00666666666666667</v>
      </c>
    </row>
    <row r="50" s="273" customFormat="1" ht="28" spans="1:8">
      <c r="A50" s="304">
        <v>10</v>
      </c>
      <c r="B50" s="293" t="s">
        <v>1242</v>
      </c>
      <c r="C50" s="293" t="s">
        <v>1243</v>
      </c>
      <c r="D50" s="304" t="s">
        <v>1210</v>
      </c>
      <c r="E50" s="285">
        <v>1</v>
      </c>
      <c r="F50" s="285"/>
      <c r="G50" s="289">
        <v>3500</v>
      </c>
      <c r="H50" s="290">
        <f t="shared" si="9"/>
        <v>0.0466666666666667</v>
      </c>
    </row>
    <row r="51" s="274" customFormat="1" ht="28" spans="1:8">
      <c r="A51" s="285"/>
      <c r="B51" s="282" t="s">
        <v>1189</v>
      </c>
      <c r="C51" s="280"/>
      <c r="D51" s="283"/>
      <c r="E51" s="283"/>
      <c r="F51" s="283"/>
      <c r="G51" s="284">
        <f>SUM(G41:G50)</f>
        <v>53300</v>
      </c>
      <c r="H51" s="296">
        <f t="shared" si="9"/>
        <v>0.710666666666667</v>
      </c>
    </row>
    <row r="52" s="274" customFormat="1" ht="14" spans="1:8">
      <c r="A52" s="283" t="s">
        <v>1244</v>
      </c>
      <c r="B52" s="282" t="s">
        <v>400</v>
      </c>
      <c r="C52" s="280"/>
      <c r="D52" s="283"/>
      <c r="E52" s="283"/>
      <c r="F52" s="283"/>
      <c r="G52" s="284"/>
      <c r="H52" s="296"/>
    </row>
    <row r="53" s="274" customFormat="1" ht="28" spans="1:8">
      <c r="A53" s="285"/>
      <c r="B53" s="293" t="s">
        <v>400</v>
      </c>
      <c r="C53" s="280"/>
      <c r="D53" s="304" t="s">
        <v>1210</v>
      </c>
      <c r="E53" s="285">
        <v>1</v>
      </c>
      <c r="F53" s="285"/>
      <c r="G53" s="284">
        <v>24850</v>
      </c>
      <c r="H53" s="296">
        <f>G53/$E$4*10000</f>
        <v>0.331333333333333</v>
      </c>
    </row>
    <row r="54" s="273" customFormat="1" spans="1:8">
      <c r="A54" s="283" t="s">
        <v>1245</v>
      </c>
      <c r="B54" s="306" t="s">
        <v>1246</v>
      </c>
      <c r="C54" s="280"/>
      <c r="D54" s="283"/>
      <c r="E54" s="283"/>
      <c r="F54" s="283"/>
      <c r="G54" s="309">
        <f>G51+G39+G32+G25+G53+G11</f>
        <v>279255</v>
      </c>
      <c r="H54" s="296">
        <f>G54/$E$4*10000</f>
        <v>3.7234</v>
      </c>
    </row>
    <row r="55" s="273" customFormat="1" spans="1:8">
      <c r="B55" s="276"/>
      <c r="C55" s="277"/>
      <c r="G55" s="310"/>
    </row>
    <row r="56" s="273" customFormat="1" spans="1:8">
      <c r="B56" s="276"/>
      <c r="C56" s="277"/>
      <c r="G56" s="278"/>
    </row>
    <row r="57" s="273" customFormat="1" spans="1:8">
      <c r="B57" s="276"/>
      <c r="C57" s="277"/>
      <c r="G57" s="311"/>
    </row>
    <row r="58" s="273" customFormat="1" spans="1:8">
      <c r="B58" s="276"/>
      <c r="C58" s="277"/>
      <c r="G58" s="312">
        <f>G54-SUM(G41:G44)</f>
        <v>238005</v>
      </c>
      <c r="H58" s="296">
        <f>G58/$E$4*10000</f>
        <v>3.1734</v>
      </c>
    </row>
    <row r="59" s="273" customFormat="1" spans="1:8">
      <c r="B59" s="276"/>
      <c r="C59" s="277"/>
      <c r="G59" s="313"/>
    </row>
    <row r="60" s="273" customFormat="1" spans="1:8">
      <c r="B60" s="276"/>
      <c r="C60" s="277"/>
      <c r="G60" s="278"/>
    </row>
    <row r="61" s="273" customFormat="1" spans="1:8">
      <c r="B61" s="276"/>
      <c r="C61" s="277"/>
      <c r="G61" s="278"/>
    </row>
    <row r="62" s="273" customFormat="1" spans="1:8">
      <c r="B62" s="276"/>
      <c r="C62" s="277"/>
      <c r="G62" s="278"/>
    </row>
    <row r="63" s="273" customFormat="1" spans="1:8">
      <c r="B63" s="276"/>
      <c r="C63" s="277"/>
      <c r="G63" s="278"/>
    </row>
    <row r="64" s="273" customFormat="1" spans="1:8">
      <c r="B64" s="276"/>
      <c r="C64" s="277"/>
      <c r="G64" s="278"/>
    </row>
  </sheetData>
  <mergeCells count="2">
    <mergeCell ref="A1:H1"/>
    <mergeCell ref="I15:I16"/>
  </mergeCells>
  <pageMargins left="0.75" right="0.75" top="1" bottom="1" header="0.5" footer="0.5"/>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C4:O48"/>
  <sheetViews>
    <sheetView showZeros="0" zoomScale="73" zoomScaleNormal="73" topLeftCell="A5" workbookViewId="0">
      <selection activeCell="C5" sqref="C5:K47"/>
    </sheetView>
  </sheetViews>
  <sheetFormatPr defaultColWidth="9.0625" defaultRowHeight="17.6"/>
  <cols>
    <col min="1" max="1" width="9.0625" style="1"/>
    <col min="2" max="2" width="1.30357142857143" style="169" customWidth="1"/>
    <col min="3" max="3" width="21.1339285714286" style="34" customWidth="1"/>
    <col min="4" max="4" width="16.9017857142857" style="34" customWidth="1"/>
    <col min="5" max="5" width="13.6517857142857" style="1" customWidth="1"/>
    <col min="6" max="6" width="16.6160714285714" style="1" customWidth="1"/>
    <col min="7" max="7" width="16.125" style="1" customWidth="1"/>
    <col min="8" max="8" width="15.4196428571429" style="1" customWidth="1"/>
    <col min="9" max="9" width="14.7053571428571" style="1" customWidth="1"/>
    <col min="10" max="10" width="14.4375" style="1" customWidth="1"/>
    <col min="11" max="11" width="30.7678571428571" style="1" customWidth="1"/>
    <col min="12" max="12" width="6.08035714285714" style="169" customWidth="1"/>
    <col min="13" max="13" width="12.6696428571429" style="1"/>
    <col min="14" max="14" width="10.0714285714286" style="1"/>
    <col min="15" max="15" width="12.7857142857143" style="1"/>
    <col min="16" max="16" width="12.6696428571429" style="1"/>
    <col min="17" max="18" width="9.0625" style="1"/>
    <col min="19" max="19" width="10.1428571428571" style="1"/>
    <col min="20" max="20" width="12.6428571428571" style="1"/>
    <col min="21" max="16384" width="9.0625" style="1"/>
  </cols>
  <sheetData>
    <row r="4" s="169" customFormat="1" spans="3:11">
      <c r="C4" s="170"/>
      <c r="D4" s="170"/>
    </row>
    <row r="5" ht="89" customHeight="1" spans="3:11">
      <c r="C5" s="171" t="str">
        <f>"吉尔吉斯斯坦共和国 - "&amp;假设及结论!E13*10&amp;"MW光伏发电项目投资构成情况 
Kyrgyzstan Investment composition of photovoltaic power generation projects
"&amp;"IRR="&amp;TEXT($E$11*100,"#,##.#0")&amp;"%, 电价持续 Electricity prices continue= "&amp;假设及结论!G15&amp;" 年"</f>
        <v>吉尔吉斯斯坦共和国 - 600MW光伏发电项目投资构成情况 
Kyrgyzstan Investment composition of photovoltaic power generation projects
IRR=11.60%, 电价持续 Electricity prices continue= 25 年</v>
      </c>
      <c r="D5" s="171"/>
      <c r="E5" s="171"/>
      <c r="F5" s="171"/>
      <c r="G5" s="171"/>
      <c r="H5" s="171"/>
      <c r="I5" s="171"/>
      <c r="J5" s="171"/>
      <c r="K5" s="171"/>
    </row>
    <row r="6" ht="25" customHeight="1" spans="3:11">
      <c r="C6" s="230" t="s">
        <v>1247</v>
      </c>
      <c r="D6" s="231"/>
      <c r="E6" s="231"/>
      <c r="F6" s="231"/>
      <c r="G6" s="231"/>
      <c r="H6" s="231"/>
      <c r="I6" s="231"/>
      <c r="J6" s="231"/>
      <c r="K6" s="232"/>
    </row>
    <row r="7" ht="119" customHeight="1" spans="3:11">
      <c r="C7" s="173" t="s">
        <v>1248</v>
      </c>
      <c r="D7" s="174" t="str">
        <f>"交流/直流容量
（MW）
容配比 "&amp;"AC/DC capacity "&amp;TEXT(假设及结论!$F$13/假设及结论!$E$13,"#.##")</f>
        <v>交流/直流容量
（MW）
容配比 AC/DC capacity 1.25</v>
      </c>
      <c r="E7" s="175" t="str">
        <f>"电价 Electrictity Prie
"&amp;IF(假设及结论!$Q$7="NO","(不含税)","(含税)")&amp;"
(US$/kwh)"</f>
        <v>电价 Electrictity Prie
(不含税)
(US$/kwh)</v>
      </c>
      <c r="F7" s="175" t="s">
        <v>1249</v>
      </c>
      <c r="G7" s="175" t="s">
        <v>1250</v>
      </c>
      <c r="H7" s="175" t="s">
        <v>1251</v>
      </c>
      <c r="I7" s="176" t="s">
        <v>1252</v>
      </c>
      <c r="J7" s="176" t="s">
        <v>1253</v>
      </c>
      <c r="K7" s="177" t="s">
        <v>1254</v>
      </c>
    </row>
    <row r="8" ht="18" spans="3:11">
      <c r="C8" s="173"/>
      <c r="D8" s="178" t="str">
        <f>假设及结论!$C$7</f>
        <v>600 / 750</v>
      </c>
      <c r="E8" s="179">
        <f>假设及结论!$I$15/假设及结论!$I$21</f>
        <v>0.05</v>
      </c>
      <c r="F8" s="180">
        <f>假设及结论!$B$9</f>
        <v>1545</v>
      </c>
      <c r="G8" s="181" t="str">
        <f>假设及结论!$C$9</f>
        <v>30% / 1小时</v>
      </c>
      <c r="H8" s="233" t="str" cm="1">
        <f t="array" ref="H8">ROUND(SMALL(IF(还本付息!$E$33:$AD$33&lt;&gt;0,还本付息!$E$33:$AD$33),1),3)&amp;" / "&amp;ROUND(SUM(还本付息!$E$33:$AD$33)/DebtPeriod,3)</f>
        <v>1.898 / 2.131</v>
      </c>
      <c r="I8" s="183">
        <f>假设及结论!$G$21</f>
        <v>1232.7</v>
      </c>
      <c r="J8" s="183">
        <f>假设及结论!$H$21</f>
        <v>180</v>
      </c>
      <c r="K8" s="183">
        <f>假设及结论!$J$21</f>
        <v>272</v>
      </c>
    </row>
    <row r="9" spans="3:11">
      <c r="C9" s="173"/>
      <c r="D9" s="184"/>
      <c r="E9" s="185"/>
      <c r="F9" s="185"/>
      <c r="G9" s="185"/>
      <c r="H9" s="185"/>
      <c r="I9" s="185"/>
      <c r="J9" s="185"/>
      <c r="K9" s="185"/>
    </row>
    <row r="10" ht="101" spans="3:11">
      <c r="C10" s="173"/>
      <c r="D10" s="186" t="s">
        <v>1255</v>
      </c>
      <c r="E10" s="175" t="s">
        <v>1256</v>
      </c>
      <c r="F10" s="175" t="s">
        <v>1257</v>
      </c>
      <c r="G10" s="175" t="s">
        <v>1258</v>
      </c>
      <c r="H10" s="175" t="s">
        <v>1259</v>
      </c>
      <c r="I10" s="175" t="s">
        <v>1260</v>
      </c>
      <c r="J10" s="175" t="s">
        <v>1261</v>
      </c>
      <c r="K10" s="176" t="s">
        <v>1262</v>
      </c>
    </row>
    <row r="11" spans="3:11">
      <c r="C11" s="173"/>
      <c r="D11" s="187">
        <f>假设及结论!$B$7</f>
        <v>267947.357144546</v>
      </c>
      <c r="E11" s="188">
        <f>全部投资现金流!$E$27</f>
        <v>0.115992191541394</v>
      </c>
      <c r="F11" s="189">
        <f>资本金现金流!$E$27</f>
        <v>0.210528646760078</v>
      </c>
      <c r="G11" s="180">
        <f>假设及结论!$E$7</f>
        <v>251649.6</v>
      </c>
      <c r="H11" s="180">
        <f>假设及结论!$E$9</f>
        <v>15851.0322322667</v>
      </c>
      <c r="I11" s="190">
        <f>假设及结论!$D$9</f>
        <v>0.704490321434076</v>
      </c>
      <c r="J11" s="191">
        <f>假设及结论!$D$7</f>
        <v>3.355328</v>
      </c>
      <c r="K11" s="183">
        <f>总成本!C24</f>
        <v>47.5391984968552</v>
      </c>
    </row>
    <row r="12" ht="63" customHeight="1" spans="3:11">
      <c r="C12" s="173"/>
      <c r="D12" s="235" t="str">
        <f>"测算总投资 estimated total investment：当收益率为Calculate the total investment: when the rate of return is "&amp;TEXT($E$11*100,"##0.00")&amp;"% ，总投资为The total investment is（1）"</f>
        <v>测算总投资 estimated total investment：当收益率为Calculate the total investment: when the rate of return is 11.60% ，总投资为The total investment is（1）</v>
      </c>
      <c r="E12" s="235"/>
      <c r="F12" s="235"/>
      <c r="G12" s="235"/>
      <c r="H12" s="235"/>
      <c r="I12" s="235"/>
      <c r="J12" s="194">
        <f>D11</f>
        <v>267947.357144546</v>
      </c>
      <c r="K12" s="195"/>
    </row>
    <row r="13" spans="3:11">
      <c r="C13" s="196"/>
      <c r="D13" s="196"/>
      <c r="E13" s="2"/>
      <c r="F13" s="2"/>
      <c r="G13" s="2"/>
      <c r="H13" s="2"/>
      <c r="I13" s="2"/>
      <c r="J13" s="2"/>
      <c r="K13" s="2"/>
    </row>
    <row r="14" spans="3:11">
      <c r="C14" s="197" t="s">
        <v>1263</v>
      </c>
      <c r="D14" s="196" t="s">
        <v>174</v>
      </c>
      <c r="E14" s="198" t="s">
        <v>1264</v>
      </c>
      <c r="F14" s="199"/>
      <c r="G14" s="199"/>
      <c r="H14" s="199"/>
      <c r="I14" s="237">
        <f>J14/假设及结论!$F$13/1000</f>
        <v>0.0442061584043883</v>
      </c>
      <c r="J14" s="201">
        <f>资金筹措!C8</f>
        <v>3315.46188032912</v>
      </c>
      <c r="K14" s="2"/>
    </row>
    <row r="15" ht="38" customHeight="1" spans="3:11">
      <c r="C15" s="202"/>
      <c r="D15" s="196" t="s">
        <v>175</v>
      </c>
      <c r="E15" s="215" t="s">
        <v>1265</v>
      </c>
      <c r="F15" s="199"/>
      <c r="G15" s="199"/>
      <c r="H15" s="199"/>
      <c r="I15" s="237">
        <f>J15/假设及结论!$F$13/1000</f>
        <v>0.0652843321637283</v>
      </c>
      <c r="J15" s="201">
        <f>假设及结论!B15+假设及结论!D15</f>
        <v>4896.32491227963</v>
      </c>
      <c r="K15" s="2"/>
    </row>
    <row r="16" spans="3:11">
      <c r="C16" s="202"/>
      <c r="D16" s="196" t="s">
        <v>176</v>
      </c>
      <c r="E16" s="198" t="s">
        <v>1266</v>
      </c>
      <c r="F16" s="199"/>
      <c r="G16" s="199"/>
      <c r="H16" s="199"/>
      <c r="I16" s="237">
        <f>J16/假设及结论!$F$13/1000</f>
        <v>0.02</v>
      </c>
      <c r="J16" s="201">
        <f>财务计划!$C$25</f>
        <v>1500</v>
      </c>
      <c r="K16" s="2"/>
    </row>
    <row r="17" ht="71" spans="3:15">
      <c r="C17" s="202"/>
      <c r="D17" s="196" t="s">
        <v>1267</v>
      </c>
      <c r="E17" s="198" t="s">
        <v>1268</v>
      </c>
      <c r="F17" s="199"/>
      <c r="G17" s="199"/>
      <c r="H17" s="199"/>
      <c r="I17" s="237">
        <f>J17/假设及结论!$F$13/1000</f>
        <v>0.149210520000946</v>
      </c>
      <c r="J17" s="201">
        <f>RIGHT($K$17,3)*资金筹措!$F$16</f>
        <v>11190.7890000709</v>
      </c>
      <c r="K17" s="240" t="str">
        <f>"国内融资担保公司要求Requirements for domestic financing guarantee companies "&amp;6%*100&amp;"%"</f>
        <v>国内融资担保公司要求Requirements for domestic financing guarantee companies 6%</v>
      </c>
    </row>
    <row r="18" spans="3:15">
      <c r="C18" s="202"/>
      <c r="D18" s="196" t="s">
        <v>1269</v>
      </c>
      <c r="E18" s="198"/>
      <c r="F18" s="199"/>
      <c r="G18" s="199"/>
      <c r="H18" s="199"/>
      <c r="I18" s="200">
        <f>J18/假设及结论!$F$13/1000</f>
        <v>0</v>
      </c>
      <c r="J18" s="201"/>
      <c r="K18" s="2"/>
    </row>
    <row r="19" ht="70" customHeight="1" spans="3:15">
      <c r="C19" s="204"/>
      <c r="D19" s="205"/>
      <c r="E19" s="241" t="s">
        <v>1270</v>
      </c>
      <c r="F19" s="241"/>
      <c r="G19" s="242">
        <f>J12-J19</f>
        <v>247044.781351867</v>
      </c>
      <c r="H19" s="243" t="str">
        <f>MID($C$14,6,63)&amp;" 合计（2）"</f>
        <v>利息和业主管理费
Construction period interest and owner management fees 合计（2）</v>
      </c>
      <c r="I19" s="244"/>
      <c r="J19" s="210">
        <f>SUM(J14:J18)</f>
        <v>20902.5757926797</v>
      </c>
      <c r="K19" s="245" t="str">
        <f>"总包合同金额 &amp; 造价"&amp;"General Contract Amount &amp; Cost "&amp;ROUND(G19/假设及结论!$F$13/1000,2)&amp;"yuan/w"</f>
        <v>总包合同金额 &amp; 造价General Contract Amount &amp; Cost 3.29yuan/w</v>
      </c>
    </row>
    <row r="20" spans="3:15">
      <c r="C20" s="211"/>
      <c r="D20" s="211"/>
      <c r="E20" s="212"/>
      <c r="F20" s="212"/>
      <c r="G20" s="212"/>
      <c r="H20" s="212"/>
      <c r="I20" s="212"/>
      <c r="J20" s="212"/>
      <c r="K20" s="212"/>
    </row>
    <row r="21" spans="3:15">
      <c r="C21" s="213" t="s">
        <v>1271</v>
      </c>
      <c r="D21" s="204"/>
      <c r="E21" s="196" t="s">
        <v>1272</v>
      </c>
      <c r="F21" s="196"/>
      <c r="G21" s="196"/>
      <c r="H21" s="196"/>
      <c r="I21" s="214" t="s">
        <v>1273</v>
      </c>
      <c r="J21" s="204"/>
      <c r="K21" s="204" t="s">
        <v>1274</v>
      </c>
    </row>
    <row r="22" ht="33" customHeight="1" spans="3:15">
      <c r="C22" s="213"/>
      <c r="D22" s="196" t="s">
        <v>174</v>
      </c>
      <c r="E22" s="215" t="s">
        <v>1275</v>
      </c>
      <c r="F22" s="216"/>
      <c r="G22" s="216"/>
      <c r="H22" s="216"/>
      <c r="I22" s="237">
        <v>0.15</v>
      </c>
      <c r="J22" s="201">
        <f>I22*假设及结论!$F$13*1000</f>
        <v>11250</v>
      </c>
      <c r="K22" s="267" t="s">
        <v>1276</v>
      </c>
    </row>
    <row r="23" ht="57" customHeight="1" spans="3:15">
      <c r="C23" s="213"/>
      <c r="D23" s="196" t="s">
        <v>175</v>
      </c>
      <c r="E23" s="268" t="s">
        <v>1277</v>
      </c>
      <c r="F23" s="221"/>
      <c r="G23" s="221"/>
      <c r="H23" s="221"/>
      <c r="I23" s="237">
        <v>0.05</v>
      </c>
      <c r="J23" s="201">
        <f>I23*假设及结论!$F$13*1000</f>
        <v>3750</v>
      </c>
      <c r="K23" s="247" t="s">
        <v>1276</v>
      </c>
    </row>
    <row r="24" spans="3:15">
      <c r="C24" s="213"/>
      <c r="D24" s="196" t="s">
        <v>176</v>
      </c>
      <c r="E24" s="215"/>
      <c r="F24" s="216"/>
      <c r="G24" s="216"/>
      <c r="H24" s="216"/>
      <c r="I24" s="200"/>
      <c r="J24" s="201">
        <f>I24*假设及结论!$F$13*1000</f>
        <v>0</v>
      </c>
      <c r="K24" s="269"/>
    </row>
    <row r="25" spans="3:15">
      <c r="C25" s="213"/>
      <c r="D25" s="196" t="s">
        <v>1267</v>
      </c>
      <c r="E25" s="198"/>
      <c r="F25" s="199"/>
      <c r="G25" s="199"/>
      <c r="H25" s="199"/>
      <c r="I25" s="200">
        <f>J25/假设及结论!$F$13/1000</f>
        <v>0</v>
      </c>
      <c r="J25" s="201"/>
      <c r="K25" s="2"/>
    </row>
    <row r="26" ht="91" customHeight="1" spans="3:15">
      <c r="C26" s="213"/>
      <c r="D26" s="205"/>
      <c r="E26" s="241" t="s">
        <v>1278</v>
      </c>
      <c r="F26" s="241"/>
      <c r="G26" s="242">
        <f>G19-J26</f>
        <v>232044.781351867</v>
      </c>
      <c r="H26" s="248" t="str">
        <f>MID($C$21,2,40)&amp;"  合计（3）"</f>
        <v>
前期开发阶段
pre-development stage  合计（3）</v>
      </c>
      <c r="I26" s="249"/>
      <c r="J26" s="210">
        <f>SUM(J22:J25)</f>
        <v>15000</v>
      </c>
      <c r="K26" s="270" t="s">
        <v>1279</v>
      </c>
    </row>
    <row r="27" spans="3:15">
      <c r="C27" s="211"/>
      <c r="D27" s="211"/>
      <c r="E27" s="212"/>
      <c r="F27" s="212"/>
      <c r="G27" s="212"/>
      <c r="H27" s="212"/>
      <c r="I27" s="212"/>
      <c r="J27" s="212"/>
      <c r="K27" s="212"/>
    </row>
    <row r="28" ht="47" customHeight="1" spans="3:15">
      <c r="C28" s="173" t="s">
        <v>1280</v>
      </c>
      <c r="D28" s="204" t="s">
        <v>174</v>
      </c>
      <c r="E28" s="250" t="s">
        <v>1281</v>
      </c>
      <c r="F28" s="251"/>
      <c r="G28" s="251"/>
      <c r="H28" s="251"/>
      <c r="I28" s="252">
        <v>0.71</v>
      </c>
      <c r="J28" s="201">
        <f>I28*假设及结论!$F$13*1000</f>
        <v>53250</v>
      </c>
      <c r="K28" s="253"/>
    </row>
    <row r="29" spans="3:15">
      <c r="C29" s="196"/>
      <c r="D29" s="196" t="s">
        <v>175</v>
      </c>
      <c r="E29" s="250" t="s">
        <v>1282</v>
      </c>
      <c r="F29" s="251"/>
      <c r="G29" s="251"/>
      <c r="H29" s="251"/>
      <c r="I29" s="252">
        <v>0.1</v>
      </c>
      <c r="J29" s="201">
        <f>I29*假设及结论!$F$13*1000</f>
        <v>7500</v>
      </c>
      <c r="K29" s="253"/>
      <c r="O29" s="254"/>
    </row>
    <row r="30" spans="3:15">
      <c r="C30" s="196"/>
      <c r="D30" s="204" t="s">
        <v>176</v>
      </c>
      <c r="E30" s="250" t="s">
        <v>1283</v>
      </c>
      <c r="F30" s="251"/>
      <c r="G30" s="251"/>
      <c r="H30" s="251"/>
      <c r="I30" s="252">
        <v>0.11</v>
      </c>
      <c r="J30" s="201">
        <f>I30*假设及结论!$F$13*1000</f>
        <v>8250</v>
      </c>
      <c r="K30" s="253"/>
    </row>
    <row r="31" spans="3:15">
      <c r="C31" s="196"/>
      <c r="D31" s="196" t="s">
        <v>1267</v>
      </c>
      <c r="E31" s="250" t="s">
        <v>1284</v>
      </c>
      <c r="F31" s="251"/>
      <c r="G31" s="251"/>
      <c r="H31" s="251"/>
      <c r="I31" s="252">
        <v>0.13</v>
      </c>
      <c r="J31" s="201">
        <f>I31*假设及结论!$F$13*1000</f>
        <v>9750</v>
      </c>
      <c r="K31" s="253"/>
    </row>
    <row r="32" spans="3:15">
      <c r="C32" s="196"/>
      <c r="D32" s="204" t="s">
        <v>1269</v>
      </c>
      <c r="E32" s="250" t="s">
        <v>1285</v>
      </c>
      <c r="F32" s="251"/>
      <c r="G32" s="251"/>
      <c r="H32" s="251"/>
      <c r="I32" s="252">
        <v>0.09</v>
      </c>
      <c r="J32" s="201">
        <f>I32*假设及结论!$F$13*1000</f>
        <v>6750</v>
      </c>
      <c r="K32" s="253"/>
    </row>
    <row r="33" spans="3:11">
      <c r="C33" s="196"/>
      <c r="D33" s="196" t="s">
        <v>1286</v>
      </c>
      <c r="E33" s="250" t="s">
        <v>1287</v>
      </c>
      <c r="F33" s="251"/>
      <c r="G33" s="251"/>
      <c r="H33" s="251"/>
      <c r="I33" s="252">
        <v>0.2</v>
      </c>
      <c r="J33" s="201">
        <f>I33*假设及结论!$F$13*1000</f>
        <v>15000</v>
      </c>
      <c r="K33" s="253"/>
    </row>
    <row r="34" spans="3:11">
      <c r="C34" s="196"/>
      <c r="D34" s="196" t="s">
        <v>1288</v>
      </c>
      <c r="E34" s="250" t="s">
        <v>1289</v>
      </c>
      <c r="F34" s="251"/>
      <c r="G34" s="251"/>
      <c r="H34" s="251"/>
      <c r="I34" s="252">
        <v>0.01</v>
      </c>
      <c r="J34" s="201">
        <f>I34*假设及结论!$F$13*1000</f>
        <v>750</v>
      </c>
      <c r="K34" s="253"/>
    </row>
    <row r="35" spans="3:11">
      <c r="C35" s="196"/>
      <c r="D35" s="204" t="s">
        <v>703</v>
      </c>
      <c r="E35" s="250" t="s">
        <v>1290</v>
      </c>
      <c r="F35" s="251"/>
      <c r="G35" s="251"/>
      <c r="H35" s="251"/>
      <c r="I35" s="252">
        <v>0.145</v>
      </c>
      <c r="J35" s="201">
        <f>I35*假设及结论!$F$13*1000</f>
        <v>10875</v>
      </c>
      <c r="K35" s="253"/>
    </row>
    <row r="36" spans="3:11">
      <c r="C36" s="196"/>
      <c r="D36" s="196" t="s">
        <v>1291</v>
      </c>
      <c r="E36" s="250" t="s">
        <v>1292</v>
      </c>
      <c r="F36" s="251"/>
      <c r="G36" s="251"/>
      <c r="H36" s="251"/>
      <c r="I36" s="252">
        <v>0.1</v>
      </c>
      <c r="J36" s="201">
        <f>I36*假设及结论!$F$13*1000</f>
        <v>7500</v>
      </c>
      <c r="K36" s="253"/>
    </row>
    <row r="37" spans="3:11">
      <c r="C37" s="196"/>
      <c r="D37" s="196" t="s">
        <v>1293</v>
      </c>
      <c r="E37" s="250" t="s">
        <v>1294</v>
      </c>
      <c r="F37" s="251"/>
      <c r="G37" s="251"/>
      <c r="H37" s="251"/>
      <c r="I37" s="252">
        <v>0.005</v>
      </c>
      <c r="J37" s="201">
        <f>I37*假设及结论!$F$13*1000</f>
        <v>375</v>
      </c>
      <c r="K37" s="253"/>
    </row>
    <row r="38" spans="3:11">
      <c r="C38" s="196"/>
      <c r="D38" s="204" t="s">
        <v>1295</v>
      </c>
      <c r="E38" s="250" t="s">
        <v>1296</v>
      </c>
      <c r="F38" s="251"/>
      <c r="G38" s="251"/>
      <c r="H38" s="251"/>
      <c r="I38" s="252">
        <v>0.008</v>
      </c>
      <c r="J38" s="201">
        <f>I38*假设及结论!$F$13*1000</f>
        <v>600</v>
      </c>
      <c r="K38" s="253"/>
    </row>
    <row r="39" spans="3:11">
      <c r="C39" s="196"/>
      <c r="D39" s="196" t="s">
        <v>1297</v>
      </c>
      <c r="E39" s="250" t="s">
        <v>1298</v>
      </c>
      <c r="F39" s="251"/>
      <c r="G39" s="251"/>
      <c r="H39" s="251"/>
      <c r="I39" s="252">
        <v>0.008</v>
      </c>
      <c r="J39" s="201">
        <f>I39*假设及结论!$F$13*1000</f>
        <v>600</v>
      </c>
      <c r="K39" s="253"/>
    </row>
    <row r="40" spans="3:11">
      <c r="C40" s="196"/>
      <c r="D40" s="196" t="s">
        <v>1299</v>
      </c>
      <c r="E40" s="250" t="s">
        <v>1300</v>
      </c>
      <c r="F40" s="251"/>
      <c r="G40" s="251"/>
      <c r="H40" s="251"/>
      <c r="I40" s="252">
        <v>0.346</v>
      </c>
      <c r="J40" s="201">
        <f>I40*假设及结论!$F$13*1000</f>
        <v>25950</v>
      </c>
      <c r="K40" s="253"/>
    </row>
    <row r="41" spans="3:11">
      <c r="C41" s="196"/>
      <c r="D41" s="204" t="s">
        <v>1301</v>
      </c>
      <c r="E41" s="250" t="s">
        <v>1302</v>
      </c>
      <c r="F41" s="251"/>
      <c r="G41" s="251"/>
      <c r="H41" s="251"/>
      <c r="I41" s="252">
        <v>0.747</v>
      </c>
      <c r="J41" s="201">
        <f>I41*假设及结论!$F$13*1000*LEFT(G8,3)</f>
        <v>16807.5</v>
      </c>
      <c r="K41" s="253"/>
    </row>
    <row r="42" spans="3:11">
      <c r="C42" s="196"/>
      <c r="D42" s="196" t="s">
        <v>1303</v>
      </c>
      <c r="E42" s="250" t="s">
        <v>1304</v>
      </c>
      <c r="F42" s="251"/>
      <c r="G42" s="251"/>
      <c r="H42" s="251"/>
      <c r="I42" s="252">
        <v>0.05</v>
      </c>
      <c r="J42" s="201">
        <f>I42*假设及结论!$F$13*1000</f>
        <v>3750</v>
      </c>
      <c r="K42" s="253"/>
    </row>
    <row r="43" spans="3:11">
      <c r="C43" s="196"/>
      <c r="D43" s="196" t="s">
        <v>1305</v>
      </c>
      <c r="E43" s="250" t="s">
        <v>1306</v>
      </c>
      <c r="F43" s="251"/>
      <c r="G43" s="251"/>
      <c r="H43" s="251"/>
      <c r="I43" s="252">
        <v>0.2</v>
      </c>
      <c r="J43" s="201">
        <f>I43*假设及结论!$F$13*1000</f>
        <v>15000</v>
      </c>
      <c r="K43" s="253"/>
    </row>
    <row r="44" spans="3:11">
      <c r="C44" s="196"/>
      <c r="D44" s="204" t="s">
        <v>1307</v>
      </c>
      <c r="E44" s="250" t="s">
        <v>1308</v>
      </c>
      <c r="F44" s="251"/>
      <c r="G44" s="251"/>
      <c r="H44" s="251"/>
      <c r="I44" s="252">
        <v>0.047</v>
      </c>
      <c r="J44" s="201">
        <f>I44*假设及结论!$F$13*1000</f>
        <v>3525</v>
      </c>
      <c r="K44" s="253"/>
    </row>
    <row r="45" spans="3:11">
      <c r="C45" s="196"/>
      <c r="D45" s="196" t="s">
        <v>1309</v>
      </c>
      <c r="E45" s="255" t="s">
        <v>1310</v>
      </c>
      <c r="F45" s="256"/>
      <c r="G45" s="256"/>
      <c r="H45" s="256"/>
      <c r="I45" s="271">
        <v>0.458</v>
      </c>
      <c r="J45" s="272">
        <f>I45*假设及结论!$F$13*1000</f>
        <v>34350</v>
      </c>
      <c r="K45" s="253"/>
    </row>
    <row r="46" spans="3:11">
      <c r="C46" s="196"/>
      <c r="D46" s="196" t="s">
        <v>1311</v>
      </c>
      <c r="E46" s="250"/>
      <c r="F46" s="251"/>
      <c r="G46" s="251"/>
      <c r="H46" s="251"/>
      <c r="I46" s="200"/>
      <c r="J46" s="201">
        <f>I46*假设及结论!$F$13*1000</f>
        <v>0</v>
      </c>
      <c r="K46" s="196"/>
    </row>
    <row r="47" ht="80" customHeight="1" spans="3:11">
      <c r="C47" s="196"/>
      <c r="D47" s="205"/>
      <c r="E47" s="261" t="s">
        <v>1312</v>
      </c>
      <c r="F47" s="262"/>
      <c r="G47" s="263">
        <f>G26-J47</f>
        <v>11462.2813518667</v>
      </c>
      <c r="H47" s="264" t="str">
        <f>MID($C$28,2,50)&amp;" 合计（4）"</f>
        <v>
 EPC 总包工程部分
EPC general contracting project part 合计（4）</v>
      </c>
      <c r="I47" s="265"/>
      <c r="J47" s="227">
        <f>SUM(J28:J46)</f>
        <v>220582.5</v>
      </c>
      <c r="K47" s="266" t="str">
        <f>"总包工程金额  Total project contract amount&amp; 造价  construction cost "&amp;ROUND(J47/假设及结论!$F$13/1000,2)&amp;"yuan/w"</f>
        <v>总包工程金额  Total project contract amount&amp; 造价  construction cost 2.94yuan/w</v>
      </c>
    </row>
    <row r="48" s="169" customFormat="1" spans="3:11">
      <c r="C48" s="170"/>
      <c r="D48" s="170"/>
    </row>
  </sheetData>
  <mergeCells count="46">
    <mergeCell ref="C5:K5"/>
    <mergeCell ref="C6:K6"/>
    <mergeCell ref="D9:K9"/>
    <mergeCell ref="D12:I12"/>
    <mergeCell ref="C13:K13"/>
    <mergeCell ref="E14:H14"/>
    <mergeCell ref="E15:H15"/>
    <mergeCell ref="E16:H16"/>
    <mergeCell ref="E17:H17"/>
    <mergeCell ref="E18:H18"/>
    <mergeCell ref="E19:F19"/>
    <mergeCell ref="H19:I19"/>
    <mergeCell ref="C20:K20"/>
    <mergeCell ref="E21:H21"/>
    <mergeCell ref="E22:H22"/>
    <mergeCell ref="E23:H23"/>
    <mergeCell ref="E24:H24"/>
    <mergeCell ref="E25:H25"/>
    <mergeCell ref="E26:F26"/>
    <mergeCell ref="H26:I26"/>
    <mergeCell ref="C27:K27"/>
    <mergeCell ref="E28:H28"/>
    <mergeCell ref="E29:H29"/>
    <mergeCell ref="E30:H30"/>
    <mergeCell ref="E31:H31"/>
    <mergeCell ref="E32:H32"/>
    <mergeCell ref="E33:H33"/>
    <mergeCell ref="E34:H34"/>
    <mergeCell ref="E35:H35"/>
    <mergeCell ref="E36:H36"/>
    <mergeCell ref="E37:H37"/>
    <mergeCell ref="E38:H38"/>
    <mergeCell ref="E39:H39"/>
    <mergeCell ref="E40:H40"/>
    <mergeCell ref="E41:H41"/>
    <mergeCell ref="E42:H42"/>
    <mergeCell ref="E43:H43"/>
    <mergeCell ref="E44:H44"/>
    <mergeCell ref="E45:H45"/>
    <mergeCell ref="E46:H46"/>
    <mergeCell ref="E47:F47"/>
    <mergeCell ref="H47:I47"/>
    <mergeCell ref="C7:C12"/>
    <mergeCell ref="C14:C19"/>
    <mergeCell ref="C21:C26"/>
    <mergeCell ref="C28:C47"/>
  </mergeCells>
  <pageMargins left="0.75" right="0.75" top="1" bottom="1" header="0.5" footer="0.5"/>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C4:O46"/>
  <sheetViews>
    <sheetView showZeros="0" zoomScale="69" zoomScaleNormal="69" topLeftCell="A10" workbookViewId="0">
      <selection activeCell="T41" sqref="T41"/>
    </sheetView>
  </sheetViews>
  <sheetFormatPr defaultColWidth="9.0625" defaultRowHeight="17.6"/>
  <cols>
    <col min="1" max="1" width="9.0625" style="1"/>
    <col min="2" max="2" width="1.30357142857143" style="169" customWidth="1"/>
    <col min="3" max="3" width="21.1339285714286" style="34" customWidth="1"/>
    <col min="4" max="4" width="16.9017857142857" style="34" customWidth="1"/>
    <col min="5" max="5" width="13.6517857142857" style="1" customWidth="1"/>
    <col min="6" max="6" width="16.6160714285714" style="1" customWidth="1"/>
    <col min="7" max="7" width="16.125" style="1" customWidth="1"/>
    <col min="8" max="8" width="15.4196428571429" style="1" customWidth="1"/>
    <col min="9" max="9" width="14.7053571428571" style="1" customWidth="1"/>
    <col min="10" max="10" width="22.6428571428571" style="1" customWidth="1"/>
    <col min="11" max="11" width="30.7678571428571" style="1" customWidth="1"/>
    <col min="12" max="12" width="6.08035714285714" style="169" customWidth="1"/>
    <col min="13" max="13" width="12.6696428571429" style="1"/>
    <col min="14" max="14" width="10.0714285714286" style="1"/>
    <col min="15" max="15" width="12.7857142857143" style="1"/>
    <col min="16" max="16" width="12.6696428571429" style="1"/>
    <col min="17" max="18" width="9.0625" style="1"/>
    <col min="19" max="19" width="10.1428571428571" style="1"/>
    <col min="20" max="20" width="12.6428571428571" style="1"/>
    <col min="21" max="16384" width="9.0625" style="1"/>
  </cols>
  <sheetData>
    <row r="4" s="169" customFormat="1" spans="3:11">
      <c r="C4" s="170"/>
      <c r="D4" s="170"/>
    </row>
    <row r="5" ht="89" customHeight="1" spans="3:11">
      <c r="C5" s="171" t="str">
        <f>"吉尔吉斯斯坦共和国 - "&amp;假设及结论!E13*10&amp;"MW光伏发电项目投资构成情况 
Kyrgyzstan Investment composition of photovoltaic power generation projects
"&amp;"IRR="&amp;TEXT($E$11*100,"#,##.#0")&amp;"%, 电价持续 Electricity prices continue= "&amp;假设及结论!G15&amp;" 年"</f>
        <v>吉尔吉斯斯坦共和国 - 600MW光伏发电项目投资构成情况 
Kyrgyzstan Investment composition of photovoltaic power generation projects
IRR=11.60%, 电价持续 Electricity prices continue= 25 年</v>
      </c>
      <c r="D5" s="171"/>
      <c r="E5" s="171"/>
      <c r="F5" s="171"/>
      <c r="G5" s="171"/>
      <c r="H5" s="171"/>
      <c r="I5" s="171"/>
      <c r="J5" s="171"/>
      <c r="K5" s="171"/>
    </row>
    <row r="6" ht="25" customHeight="1" spans="3:11">
      <c r="C6" s="230" t="s">
        <v>1313</v>
      </c>
      <c r="D6" s="231"/>
      <c r="E6" s="231"/>
      <c r="F6" s="231"/>
      <c r="G6" s="231"/>
      <c r="H6" s="231"/>
      <c r="I6" s="231"/>
      <c r="J6" s="231"/>
      <c r="K6" s="232"/>
    </row>
    <row r="7" ht="119" customHeight="1" spans="3:11">
      <c r="C7" s="173" t="s">
        <v>1248</v>
      </c>
      <c r="D7" s="174" t="str">
        <f>"交流/直流容量
（MW）
容配比 "&amp;"AC/DC capacity "&amp;TEXT(假设及结论!$F$13/假设及结论!$E$13,"#.##")</f>
        <v>交流/直流容量
（MW）
容配比 AC/DC capacity 1.25</v>
      </c>
      <c r="E7" s="175" t="str">
        <f>"电价 Electrictity Prie
"&amp;IF(假设及结论!$Q$7="NO","(不含税)","(含税)")&amp;"
(US$/kwh)"</f>
        <v>电价 Electrictity Prie
(不含税)
(US$/kwh)</v>
      </c>
      <c r="F7" s="175" t="s">
        <v>1249</v>
      </c>
      <c r="G7" s="175" t="s">
        <v>1250</v>
      </c>
      <c r="H7" s="175" t="s">
        <v>1251</v>
      </c>
      <c r="I7" s="176" t="s">
        <v>1252</v>
      </c>
      <c r="J7" s="176" t="s">
        <v>1253</v>
      </c>
      <c r="K7" s="177" t="s">
        <v>1254</v>
      </c>
    </row>
    <row r="8" ht="18" spans="3:11">
      <c r="C8" s="173"/>
      <c r="D8" s="178" t="str">
        <f>假设及结论!$C$7</f>
        <v>600 / 750</v>
      </c>
      <c r="E8" s="179">
        <f>假设及结论!$I$15/假设及结论!$I$21</f>
        <v>0.05</v>
      </c>
      <c r="F8" s="180">
        <f>假设及结论!$B$9</f>
        <v>1545</v>
      </c>
      <c r="G8" s="181" t="str">
        <f>假设及结论!$C$9</f>
        <v>30% / 1小时</v>
      </c>
      <c r="H8" s="233" t="str" cm="1">
        <f t="array" ref="H8">ROUND(SMALL(IF(还本付息!$E$33:$AD$33&lt;&gt;0,还本付息!$E$33:$AD$33),1),3)&amp;" / "&amp;ROUND(SUM(还本付息!$E$33:$AD$33)/DebtPeriod,3)</f>
        <v>1.898 / 2.131</v>
      </c>
      <c r="I8" s="183">
        <f>假设及结论!$G$21</f>
        <v>1232.7</v>
      </c>
      <c r="J8" s="183">
        <f>假设及结论!$H$21</f>
        <v>180</v>
      </c>
      <c r="K8" s="183">
        <f>假设及结论!$J$21</f>
        <v>272</v>
      </c>
    </row>
    <row r="9" spans="3:11">
      <c r="C9" s="173"/>
      <c r="D9" s="184"/>
      <c r="E9" s="185"/>
      <c r="F9" s="185"/>
      <c r="G9" s="185"/>
      <c r="H9" s="185"/>
      <c r="I9" s="185"/>
      <c r="J9" s="185"/>
      <c r="K9" s="185"/>
    </row>
    <row r="10" ht="101" spans="3:11">
      <c r="C10" s="173"/>
      <c r="D10" s="186" t="s">
        <v>1314</v>
      </c>
      <c r="E10" s="175" t="s">
        <v>1256</v>
      </c>
      <c r="F10" s="175" t="s">
        <v>1257</v>
      </c>
      <c r="G10" s="175" t="s">
        <v>1315</v>
      </c>
      <c r="H10" s="175" t="s">
        <v>1316</v>
      </c>
      <c r="I10" s="175" t="s">
        <v>1260</v>
      </c>
      <c r="J10" s="175" t="s">
        <v>1261</v>
      </c>
      <c r="K10" s="176" t="s">
        <v>1262</v>
      </c>
    </row>
    <row r="11" spans="3:11">
      <c r="C11" s="173"/>
      <c r="D11" s="187">
        <f>假设及结论!$B$7*10</f>
        <v>2679473.57144546</v>
      </c>
      <c r="E11" s="188">
        <f>全部投资现金流!$E$27</f>
        <v>0.115992191541394</v>
      </c>
      <c r="F11" s="234">
        <f>资本金现金流!$E$27</f>
        <v>0.210528646760078</v>
      </c>
      <c r="G11" s="180">
        <f>假设及结论!$E$7*10</f>
        <v>2516496</v>
      </c>
      <c r="H11" s="180">
        <f>假设及结论!$E$9*10</f>
        <v>158510.322322667</v>
      </c>
      <c r="I11" s="190">
        <f>假设及结论!$D$9</f>
        <v>0.704490321434076</v>
      </c>
      <c r="J11" s="191">
        <f>假设及结论!$D$7</f>
        <v>3.355328</v>
      </c>
      <c r="K11" s="183">
        <f>总成本!C24</f>
        <v>47.5391984968552</v>
      </c>
    </row>
    <row r="12" ht="63" customHeight="1" spans="3:11">
      <c r="C12" s="173"/>
      <c r="D12" s="235" t="str">
        <f>"测算总投资 Estimated total investment：当收益率为Calculate the total investment: when the rate of return is "&amp;TEXT($E$11*100,"##0.00")&amp;"% ，总投资为The total investment is（1）"</f>
        <v>测算总投资 Estimated total investment：当收益率为Calculate the total investment: when the rate of return is 11.60% ，总投资为The total investment is（1）</v>
      </c>
      <c r="E12" s="235"/>
      <c r="F12" s="235"/>
      <c r="G12" s="235"/>
      <c r="H12" s="235"/>
      <c r="I12" s="235"/>
      <c r="J12" s="236">
        <f>D11</f>
        <v>2679473.57144546</v>
      </c>
      <c r="K12" s="195"/>
    </row>
    <row r="13" spans="3:11">
      <c r="C13" s="196"/>
      <c r="D13" s="196"/>
      <c r="E13" s="2"/>
      <c r="F13" s="2"/>
      <c r="G13" s="2"/>
      <c r="H13" s="2"/>
      <c r="I13" s="2"/>
      <c r="J13" s="2"/>
      <c r="K13" s="2"/>
    </row>
    <row r="14" spans="3:11">
      <c r="C14" s="197" t="s">
        <v>1263</v>
      </c>
      <c r="D14" s="196" t="s">
        <v>174</v>
      </c>
      <c r="E14" s="198" t="s">
        <v>1264</v>
      </c>
      <c r="F14" s="199"/>
      <c r="G14" s="199"/>
      <c r="H14" s="199"/>
      <c r="I14" s="237">
        <f>J14/假设及结论!$F$13/1000</f>
        <v>0.442061584043883</v>
      </c>
      <c r="J14" s="238">
        <f>资金筹措!C8*10</f>
        <v>33154.6188032912</v>
      </c>
      <c r="K14" s="239" t="s">
        <v>1317</v>
      </c>
    </row>
    <row r="15" ht="38" customHeight="1" spans="3:11">
      <c r="C15" s="202"/>
      <c r="D15" s="196" t="s">
        <v>175</v>
      </c>
      <c r="E15" s="215" t="s">
        <v>1265</v>
      </c>
      <c r="F15" s="199"/>
      <c r="G15" s="199"/>
      <c r="H15" s="199"/>
      <c r="I15" s="237">
        <f>J15/假设及结论!$F$13/1000</f>
        <v>0.652843321637283</v>
      </c>
      <c r="J15" s="238">
        <f>(假设及结论!B15+假设及结论!D15)*10</f>
        <v>48963.2491227963</v>
      </c>
      <c r="K15" s="2"/>
    </row>
    <row r="16" spans="3:11">
      <c r="C16" s="202"/>
      <c r="D16" s="196" t="s">
        <v>176</v>
      </c>
      <c r="E16" s="198" t="s">
        <v>1266</v>
      </c>
      <c r="F16" s="199"/>
      <c r="G16" s="199"/>
      <c r="H16" s="199"/>
      <c r="I16" s="237">
        <f>J16/假设及结论!$F$13/1000</f>
        <v>0.2</v>
      </c>
      <c r="J16" s="238">
        <f>财务计划!$C$25*10</f>
        <v>15000</v>
      </c>
      <c r="K16" s="2"/>
    </row>
    <row r="17" ht="53" spans="3:15">
      <c r="C17" s="202"/>
      <c r="D17" s="196" t="s">
        <v>1267</v>
      </c>
      <c r="E17" s="198" t="s">
        <v>1268</v>
      </c>
      <c r="F17" s="199"/>
      <c r="G17" s="199"/>
      <c r="H17" s="199"/>
      <c r="I17" s="237">
        <f>J17/假设及结论!$F$13/1000</f>
        <v>1.49210520000946</v>
      </c>
      <c r="J17" s="238">
        <f>RIGHT($K$17,3)*资金筹措!$F$16*10</f>
        <v>111907.890000709</v>
      </c>
      <c r="K17" s="240" t="str">
        <f>"融资担保公司要求Requirements for financing guarantee companies "&amp;6%*100&amp;"%"</f>
        <v>融资担保公司要求Requirements for financing guarantee companies 6%</v>
      </c>
    </row>
    <row r="18" spans="3:15">
      <c r="C18" s="202"/>
      <c r="D18" s="196" t="s">
        <v>1269</v>
      </c>
      <c r="E18" s="198"/>
      <c r="F18" s="199"/>
      <c r="G18" s="199"/>
      <c r="H18" s="199"/>
      <c r="I18" s="200">
        <f>J18/假设及结论!$F$13/1000</f>
        <v>0</v>
      </c>
      <c r="J18" s="201"/>
      <c r="K18" s="2"/>
    </row>
    <row r="19" ht="70" customHeight="1" spans="3:15">
      <c r="C19" s="204"/>
      <c r="D19" s="205"/>
      <c r="E19" s="241" t="s">
        <v>1270</v>
      </c>
      <c r="F19" s="241"/>
      <c r="G19" s="242">
        <f>J12-J19</f>
        <v>2470447.81351867</v>
      </c>
      <c r="H19" s="243" t="str">
        <f>MID($C$14,6,63)&amp;" 合计（2）"</f>
        <v>利息和业主管理费
Construction period interest and owner management fees 合计（2）</v>
      </c>
      <c r="I19" s="244"/>
      <c r="J19" s="236">
        <f>SUM(J14:J18)</f>
        <v>209025.757926797</v>
      </c>
      <c r="K19" s="245" t="str">
        <f>"总包合同金额 &amp; 造价"&amp;"General Contract Amount &amp; Cost "&amp;ROUND(G19/假设及结论!$F$13/10000,2)&amp;"yuan/w"</f>
        <v>总包合同金额 &amp; 造价General Contract Amount &amp; Cost 3.29yuan/w</v>
      </c>
    </row>
    <row r="20" spans="3:15">
      <c r="C20" s="211"/>
      <c r="D20" s="211"/>
      <c r="E20" s="212"/>
      <c r="F20" s="212"/>
      <c r="G20" s="212"/>
      <c r="H20" s="212"/>
      <c r="I20" s="212"/>
      <c r="J20" s="212"/>
      <c r="K20" s="212"/>
    </row>
    <row r="21" spans="3:15">
      <c r="C21" s="213" t="s">
        <v>1271</v>
      </c>
      <c r="D21" s="204"/>
      <c r="E21" s="196" t="s">
        <v>1272</v>
      </c>
      <c r="F21" s="196"/>
      <c r="G21" s="196"/>
      <c r="H21" s="196"/>
      <c r="I21" s="214" t="s">
        <v>1273</v>
      </c>
      <c r="J21" s="204"/>
      <c r="K21" s="204" t="s">
        <v>1274</v>
      </c>
    </row>
    <row r="22" ht="54" customHeight="1" spans="3:15">
      <c r="C22" s="213"/>
      <c r="D22" s="196" t="s">
        <v>174</v>
      </c>
      <c r="E22" s="215" t="s">
        <v>1275</v>
      </c>
      <c r="F22" s="216"/>
      <c r="G22" s="216"/>
      <c r="H22" s="216"/>
      <c r="I22" s="246">
        <v>0.0285</v>
      </c>
      <c r="J22" s="238">
        <f>I22*假设及结论!$F$13*10000</f>
        <v>21375</v>
      </c>
      <c r="K22" s="212" t="s">
        <v>1318</v>
      </c>
    </row>
    <row r="23" ht="17" customHeight="1" spans="3:15">
      <c r="C23" s="213"/>
      <c r="D23" s="196" t="s">
        <v>175</v>
      </c>
      <c r="E23" s="215"/>
      <c r="F23" s="216"/>
      <c r="G23" s="216"/>
      <c r="H23" s="216"/>
      <c r="I23" s="237"/>
      <c r="J23" s="201"/>
      <c r="K23" s="247"/>
    </row>
    <row r="24" ht="78" customHeight="1" spans="3:15">
      <c r="C24" s="213"/>
      <c r="D24" s="205"/>
      <c r="E24" s="241" t="s">
        <v>1278</v>
      </c>
      <c r="F24" s="241"/>
      <c r="G24" s="242">
        <f>G19-J24</f>
        <v>2449072.81351867</v>
      </c>
      <c r="H24" s="248" t="str">
        <f>MID($C$21,2,40)&amp;"  合计（3）"</f>
        <v>
前期开发阶段
pre-development stage  合计（3）</v>
      </c>
      <c r="I24" s="249"/>
      <c r="J24" s="236">
        <f>SUM(J22:J23)</f>
        <v>21375</v>
      </c>
      <c r="K24" s="212" t="s">
        <v>1319</v>
      </c>
    </row>
    <row r="25" spans="3:15">
      <c r="C25" s="211"/>
      <c r="D25" s="211"/>
      <c r="E25" s="212"/>
      <c r="F25" s="212"/>
      <c r="G25" s="212"/>
      <c r="H25" s="212"/>
      <c r="I25" s="212"/>
      <c r="J25" s="212"/>
      <c r="K25" s="212"/>
    </row>
    <row r="26" ht="47" customHeight="1" spans="3:15">
      <c r="C26" s="173" t="s">
        <v>1280</v>
      </c>
      <c r="D26" s="204" t="s">
        <v>174</v>
      </c>
      <c r="E26" s="250" t="s">
        <v>1281</v>
      </c>
      <c r="F26" s="251"/>
      <c r="G26" s="251"/>
      <c r="H26" s="251"/>
      <c r="I26" s="252">
        <v>0.8</v>
      </c>
      <c r="J26" s="238">
        <f>I26*假设及结论!$F$13*10000</f>
        <v>600000</v>
      </c>
      <c r="K26" s="253"/>
    </row>
    <row r="27" spans="3:15">
      <c r="C27" s="196"/>
      <c r="D27" s="196" t="s">
        <v>175</v>
      </c>
      <c r="E27" s="250" t="s">
        <v>1282</v>
      </c>
      <c r="F27" s="251"/>
      <c r="G27" s="251"/>
      <c r="H27" s="251"/>
      <c r="I27" s="252">
        <v>0.1</v>
      </c>
      <c r="J27" s="238">
        <f>I27*假设及结论!$F$13*10000</f>
        <v>75000</v>
      </c>
      <c r="K27" s="253"/>
      <c r="O27" s="254"/>
    </row>
    <row r="28" spans="3:15">
      <c r="C28" s="196"/>
      <c r="D28" s="204" t="s">
        <v>176</v>
      </c>
      <c r="E28" s="250" t="s">
        <v>1283</v>
      </c>
      <c r="F28" s="251"/>
      <c r="G28" s="251"/>
      <c r="H28" s="251"/>
      <c r="I28" s="252">
        <v>0.11</v>
      </c>
      <c r="J28" s="238">
        <f>I28*假设及结论!$F$13*10000</f>
        <v>82500</v>
      </c>
      <c r="K28" s="253"/>
    </row>
    <row r="29" spans="3:15">
      <c r="C29" s="196"/>
      <c r="D29" s="196" t="s">
        <v>1267</v>
      </c>
      <c r="E29" s="250" t="s">
        <v>1284</v>
      </c>
      <c r="F29" s="251"/>
      <c r="G29" s="251"/>
      <c r="H29" s="251"/>
      <c r="I29" s="252">
        <v>0.13</v>
      </c>
      <c r="J29" s="238">
        <f>I29*假设及结论!$F$13*10000</f>
        <v>97500</v>
      </c>
      <c r="K29" s="253"/>
    </row>
    <row r="30" spans="3:15">
      <c r="C30" s="196"/>
      <c r="D30" s="204" t="s">
        <v>1269</v>
      </c>
      <c r="E30" s="250" t="s">
        <v>1285</v>
      </c>
      <c r="F30" s="251"/>
      <c r="G30" s="251"/>
      <c r="H30" s="251"/>
      <c r="I30" s="252">
        <v>0.09</v>
      </c>
      <c r="J30" s="238">
        <f>I30*假设及结论!$F$13*10000</f>
        <v>67500</v>
      </c>
      <c r="K30" s="253"/>
    </row>
    <row r="31" spans="3:15">
      <c r="C31" s="196"/>
      <c r="D31" s="196" t="s">
        <v>1286</v>
      </c>
      <c r="E31" s="250" t="s">
        <v>1287</v>
      </c>
      <c r="F31" s="251"/>
      <c r="G31" s="251"/>
      <c r="H31" s="251"/>
      <c r="I31" s="252">
        <v>0.2</v>
      </c>
      <c r="J31" s="238">
        <f>I31*假设及结论!$F$13*10000</f>
        <v>150000</v>
      </c>
      <c r="K31" s="253"/>
    </row>
    <row r="32" spans="3:15">
      <c r="C32" s="196"/>
      <c r="D32" s="196" t="s">
        <v>1288</v>
      </c>
      <c r="E32" s="250" t="s">
        <v>1289</v>
      </c>
      <c r="F32" s="251"/>
      <c r="G32" s="251"/>
      <c r="H32" s="251"/>
      <c r="I32" s="252">
        <v>0.01</v>
      </c>
      <c r="J32" s="238">
        <f>I32*假设及结论!$F$13*10000</f>
        <v>7500</v>
      </c>
      <c r="K32" s="253"/>
    </row>
    <row r="33" spans="3:11">
      <c r="C33" s="196"/>
      <c r="D33" s="204" t="s">
        <v>703</v>
      </c>
      <c r="E33" s="250" t="s">
        <v>1290</v>
      </c>
      <c r="F33" s="251"/>
      <c r="G33" s="251"/>
      <c r="H33" s="251"/>
      <c r="I33" s="252">
        <v>0.145</v>
      </c>
      <c r="J33" s="238">
        <f>I33*假设及结论!$F$13*1000</f>
        <v>10875</v>
      </c>
      <c r="K33" s="253"/>
    </row>
    <row r="34" spans="3:11">
      <c r="C34" s="196"/>
      <c r="D34" s="196" t="s">
        <v>1291</v>
      </c>
      <c r="E34" s="250" t="s">
        <v>1292</v>
      </c>
      <c r="F34" s="251"/>
      <c r="G34" s="251"/>
      <c r="H34" s="251"/>
      <c r="I34" s="252">
        <v>0.1</v>
      </c>
      <c r="J34" s="238">
        <f>I34*假设及结论!$F$13*10000</f>
        <v>75000</v>
      </c>
      <c r="K34" s="253"/>
    </row>
    <row r="35" spans="3:11">
      <c r="C35" s="196"/>
      <c r="D35" s="196" t="s">
        <v>1293</v>
      </c>
      <c r="E35" s="250" t="s">
        <v>1294</v>
      </c>
      <c r="F35" s="251"/>
      <c r="G35" s="251"/>
      <c r="H35" s="251"/>
      <c r="I35" s="252">
        <v>0.005</v>
      </c>
      <c r="J35" s="238">
        <f>I35*假设及结论!$F$13*1000</f>
        <v>375</v>
      </c>
      <c r="K35" s="253"/>
    </row>
    <row r="36" spans="3:11">
      <c r="C36" s="196"/>
      <c r="D36" s="204" t="s">
        <v>1295</v>
      </c>
      <c r="E36" s="250" t="s">
        <v>1296</v>
      </c>
      <c r="F36" s="251"/>
      <c r="G36" s="251"/>
      <c r="H36" s="251"/>
      <c r="I36" s="252">
        <v>0.008</v>
      </c>
      <c r="J36" s="238">
        <f>I36*假设及结论!$F$13*10000</f>
        <v>6000</v>
      </c>
      <c r="K36" s="253"/>
    </row>
    <row r="37" spans="3:11">
      <c r="C37" s="196"/>
      <c r="D37" s="196" t="s">
        <v>1297</v>
      </c>
      <c r="E37" s="250" t="s">
        <v>1298</v>
      </c>
      <c r="F37" s="251"/>
      <c r="G37" s="251"/>
      <c r="H37" s="251"/>
      <c r="I37" s="252">
        <v>0.008</v>
      </c>
      <c r="J37" s="238">
        <f>I37*假设及结论!$F$13*1000</f>
        <v>600</v>
      </c>
      <c r="K37" s="253"/>
    </row>
    <row r="38" spans="3:11">
      <c r="C38" s="196"/>
      <c r="D38" s="196" t="s">
        <v>1299</v>
      </c>
      <c r="E38" s="250" t="s">
        <v>1300</v>
      </c>
      <c r="F38" s="251"/>
      <c r="G38" s="251"/>
      <c r="H38" s="251"/>
      <c r="I38" s="252">
        <v>0.346</v>
      </c>
      <c r="J38" s="238">
        <f>I38*假设及结论!$F$13*10000</f>
        <v>259500</v>
      </c>
      <c r="K38" s="253"/>
    </row>
    <row r="39" spans="3:11">
      <c r="C39" s="196"/>
      <c r="D39" s="204" t="s">
        <v>1301</v>
      </c>
      <c r="E39" s="250" t="s">
        <v>1302</v>
      </c>
      <c r="F39" s="251"/>
      <c r="G39" s="251"/>
      <c r="H39" s="251"/>
      <c r="I39" s="252">
        <v>0.747</v>
      </c>
      <c r="J39" s="238">
        <f>I39*假设及结论!$F$13*1000*LEFT(G8,3)*10</f>
        <v>168075</v>
      </c>
      <c r="K39" s="253"/>
    </row>
    <row r="40" spans="3:11">
      <c r="C40" s="196"/>
      <c r="D40" s="196" t="s">
        <v>1303</v>
      </c>
      <c r="E40" s="250" t="s">
        <v>1304</v>
      </c>
      <c r="F40" s="251"/>
      <c r="G40" s="251"/>
      <c r="H40" s="251"/>
      <c r="I40" s="252">
        <v>0.05</v>
      </c>
      <c r="J40" s="238">
        <f>I40*假设及结论!$F$13*10000</f>
        <v>37500</v>
      </c>
      <c r="K40" s="253"/>
    </row>
    <row r="41" spans="3:11">
      <c r="C41" s="196"/>
      <c r="D41" s="196" t="s">
        <v>1305</v>
      </c>
      <c r="E41" s="250" t="s">
        <v>1306</v>
      </c>
      <c r="F41" s="251"/>
      <c r="G41" s="251"/>
      <c r="H41" s="251"/>
      <c r="I41" s="252">
        <v>0.2</v>
      </c>
      <c r="J41" s="238">
        <f>I41*假设及结论!$F$13*10000</f>
        <v>150000</v>
      </c>
      <c r="K41" s="253"/>
    </row>
    <row r="42" spans="3:11">
      <c r="C42" s="196"/>
      <c r="D42" s="204" t="s">
        <v>1307</v>
      </c>
      <c r="E42" s="250" t="s">
        <v>1308</v>
      </c>
      <c r="F42" s="251"/>
      <c r="G42" s="251"/>
      <c r="H42" s="251"/>
      <c r="I42" s="252">
        <v>0.047</v>
      </c>
      <c r="J42" s="238">
        <f>I42*假设及结论!$F$13*10000</f>
        <v>35250</v>
      </c>
      <c r="K42" s="253"/>
    </row>
    <row r="43" ht="24" spans="3:11">
      <c r="C43" s="196"/>
      <c r="D43" s="196" t="s">
        <v>1309</v>
      </c>
      <c r="E43" s="255" t="s">
        <v>1310</v>
      </c>
      <c r="F43" s="256"/>
      <c r="G43" s="256"/>
      <c r="H43" s="256"/>
      <c r="I43" s="257">
        <v>0.98</v>
      </c>
      <c r="J43" s="258">
        <f>I43*假设及结论!$F$13*10000</f>
        <v>735000</v>
      </c>
      <c r="K43" s="259" t="s">
        <v>1320</v>
      </c>
    </row>
    <row r="44" spans="3:11">
      <c r="C44" s="196"/>
      <c r="D44" s="196" t="s">
        <v>1311</v>
      </c>
      <c r="E44" s="250"/>
      <c r="F44" s="251"/>
      <c r="G44" s="251"/>
      <c r="H44" s="251"/>
      <c r="I44" s="260"/>
      <c r="J44" s="201">
        <f>I44*假设及结论!$F$13*1000</f>
        <v>0</v>
      </c>
      <c r="K44" s="196"/>
    </row>
    <row r="45" ht="80" customHeight="1" spans="3:11">
      <c r="C45" s="196"/>
      <c r="D45" s="205"/>
      <c r="E45" s="261" t="s">
        <v>1312</v>
      </c>
      <c r="F45" s="262"/>
      <c r="G45" s="263">
        <f>G24-J45</f>
        <v>-109102.186481334</v>
      </c>
      <c r="H45" s="264" t="str">
        <f>MID($C$26,2,50)&amp;" 合计（4）"</f>
        <v>
 EPC 总包工程部分
EPC general contracting project part 合计（4）</v>
      </c>
      <c r="I45" s="265"/>
      <c r="J45" s="236">
        <f>SUM(J26:J44)</f>
        <v>2558175</v>
      </c>
      <c r="K45" s="266" t="str">
        <f>"总包工程金额  Total project contract amount&amp; 造价  construction cost "&amp;ROUND(J45/假设及结论!$F$13/10000,2)&amp;"yuan/w"</f>
        <v>总包工程金额  Total project contract amount&amp; 造价  construction cost 3.41yuan/w</v>
      </c>
    </row>
    <row r="46" s="169" customFormat="1" spans="3:11">
      <c r="C46" s="170"/>
      <c r="D46" s="170"/>
    </row>
  </sheetData>
  <mergeCells count="44">
    <mergeCell ref="C5:K5"/>
    <mergeCell ref="C6:K6"/>
    <mergeCell ref="D9:K9"/>
    <mergeCell ref="D12:I12"/>
    <mergeCell ref="C13:K13"/>
    <mergeCell ref="E14:H14"/>
    <mergeCell ref="E15:H15"/>
    <mergeCell ref="E16:H16"/>
    <mergeCell ref="E17:H17"/>
    <mergeCell ref="E18:H18"/>
    <mergeCell ref="E19:F19"/>
    <mergeCell ref="H19:I19"/>
    <mergeCell ref="C20:K20"/>
    <mergeCell ref="E21:H21"/>
    <mergeCell ref="E22:H22"/>
    <mergeCell ref="E23:H23"/>
    <mergeCell ref="E24:F24"/>
    <mergeCell ref="H24:I24"/>
    <mergeCell ref="C25:K25"/>
    <mergeCell ref="E26:H26"/>
    <mergeCell ref="E27:H27"/>
    <mergeCell ref="E28:H28"/>
    <mergeCell ref="E29:H29"/>
    <mergeCell ref="E30:H30"/>
    <mergeCell ref="E31:H31"/>
    <mergeCell ref="E32:H32"/>
    <mergeCell ref="E33:H33"/>
    <mergeCell ref="E34:H34"/>
    <mergeCell ref="E35:H35"/>
    <mergeCell ref="E36:H36"/>
    <mergeCell ref="E37:H37"/>
    <mergeCell ref="E38:H38"/>
    <mergeCell ref="E39:H39"/>
    <mergeCell ref="E40:H40"/>
    <mergeCell ref="E41:H41"/>
    <mergeCell ref="E42:H42"/>
    <mergeCell ref="E43:H43"/>
    <mergeCell ref="E44:H44"/>
    <mergeCell ref="E45:F45"/>
    <mergeCell ref="H45:I45"/>
    <mergeCell ref="C7:C12"/>
    <mergeCell ref="C14:C19"/>
    <mergeCell ref="C21:C24"/>
    <mergeCell ref="C26:C45"/>
  </mergeCells>
  <pageMargins left="0.75" right="0.75" top="1" bottom="1" header="0.5" footer="0.5"/>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B4:P40"/>
  <sheetViews>
    <sheetView showZeros="0" workbookViewId="0">
      <selection activeCell="P6" sqref="P6"/>
    </sheetView>
  </sheetViews>
  <sheetFormatPr defaultColWidth="9.0625" defaultRowHeight="17.6"/>
  <cols>
    <col min="1" max="1" width="9.0625" style="1"/>
    <col min="2" max="2" width="1.30357142857143" style="169" customWidth="1"/>
    <col min="3" max="3" width="9.0625" style="34"/>
    <col min="4" max="4" width="11.9375" style="34" customWidth="1"/>
    <col min="5" max="5" width="13.6517857142857" style="1" customWidth="1"/>
    <col min="6" max="6" width="16.6160714285714" style="1" customWidth="1"/>
    <col min="7" max="7" width="12.3571428571429" style="1" customWidth="1"/>
    <col min="8" max="8" width="15.4196428571429" style="1" customWidth="1"/>
    <col min="9" max="9" width="13.1875" style="1" customWidth="1"/>
    <col min="10" max="11" width="14.4375" style="1" customWidth="1"/>
    <col min="12" max="12" width="1.30357142857143" style="169" customWidth="1"/>
    <col min="13" max="13" width="12.6696428571429" style="1"/>
    <col min="14" max="14" width="9.0625" style="1"/>
    <col min="15" max="15" width="9.57142857142857" style="1"/>
    <col min="16" max="16" width="12.6696428571429" style="1"/>
    <col min="17" max="16384" width="9.0625" style="1"/>
  </cols>
  <sheetData>
    <row r="4" s="169" customFormat="1" ht="7" customHeight="1" spans="2:16">
      <c r="C4" s="170"/>
      <c r="D4" s="170"/>
    </row>
    <row r="5" s="1" customFormat="1" ht="56" customHeight="1" spans="2:16">
      <c r="B5" s="169"/>
      <c r="C5" s="171" t="str">
        <f>"吉尔吉斯斯坦共和国-巴特肯州巴特肯区阿克塔特尔600兆瓦光伏发电项目投资构成情况
"&amp;"IRR="&amp;TEXT($E$10*100,"#,##.#0")&amp;"%"&amp;"（电价优惠期=15年）"</f>
        <v>吉尔吉斯斯坦共和国-巴特肯州巴特肯区阿克塔特尔600兆瓦光伏发电项目投资构成情况
IRR=8.50%（电价优惠期=15年）</v>
      </c>
      <c r="D5" s="172"/>
      <c r="E5" s="172"/>
      <c r="F5" s="172"/>
      <c r="G5" s="172"/>
      <c r="H5" s="172"/>
      <c r="I5" s="172"/>
      <c r="J5" s="172"/>
      <c r="K5" s="172"/>
      <c r="L5" s="169"/>
    </row>
    <row r="6" s="1" customFormat="1" ht="61" spans="2:16">
      <c r="B6" s="169"/>
      <c r="C6" s="173" t="s">
        <v>1321</v>
      </c>
      <c r="D6" s="174" t="s">
        <v>1322</v>
      </c>
      <c r="E6" s="175" t="s">
        <v>1323</v>
      </c>
      <c r="F6" s="175" t="s">
        <v>881</v>
      </c>
      <c r="G6" s="175" t="s">
        <v>882</v>
      </c>
      <c r="H6" s="175" t="s">
        <v>1324</v>
      </c>
      <c r="I6" s="176" t="s">
        <v>956</v>
      </c>
      <c r="J6" s="176" t="s">
        <v>1325</v>
      </c>
      <c r="K6" s="177" t="s">
        <v>959</v>
      </c>
      <c r="L6" s="169"/>
      <c r="O6" s="1">
        <f>I7*J7</f>
        <v>438841.2</v>
      </c>
      <c r="P6" s="1">
        <f>O6*25</f>
        <v>10971030</v>
      </c>
    </row>
    <row r="7" s="1" customFormat="1" ht="18" spans="2:16">
      <c r="B7" s="169"/>
      <c r="C7" s="173"/>
      <c r="D7" s="178" t="s">
        <v>1326</v>
      </c>
      <c r="E7" s="179">
        <v>0.05</v>
      </c>
      <c r="F7" s="180">
        <v>1529.92</v>
      </c>
      <c r="G7" s="181" t="s">
        <v>1327</v>
      </c>
      <c r="H7" s="182">
        <v>0</v>
      </c>
      <c r="I7" s="183">
        <v>1232.7</v>
      </c>
      <c r="J7" s="183">
        <v>356</v>
      </c>
      <c r="K7" s="183">
        <v>544</v>
      </c>
      <c r="L7" s="169"/>
    </row>
    <row r="8" s="1" customFormat="1" ht="5" customHeight="1" spans="2:16">
      <c r="B8" s="169"/>
      <c r="C8" s="173"/>
      <c r="D8" s="184"/>
      <c r="E8" s="185"/>
      <c r="F8" s="185"/>
      <c r="G8" s="185"/>
      <c r="H8" s="185"/>
      <c r="I8" s="185"/>
      <c r="J8" s="185"/>
      <c r="K8" s="185"/>
      <c r="L8" s="169"/>
    </row>
    <row r="9" s="1" customFormat="1" ht="51" spans="2:16">
      <c r="B9" s="169"/>
      <c r="C9" s="173"/>
      <c r="D9" s="186" t="s">
        <v>1328</v>
      </c>
      <c r="E9" s="175" t="s">
        <v>1329</v>
      </c>
      <c r="F9" s="175" t="s">
        <v>1330</v>
      </c>
      <c r="G9" s="175" t="s">
        <v>1331</v>
      </c>
      <c r="H9" s="175" t="s">
        <v>1332</v>
      </c>
      <c r="I9" s="175" t="s">
        <v>1333</v>
      </c>
      <c r="J9" s="175" t="s">
        <v>1334</v>
      </c>
      <c r="K9" s="176" t="s">
        <v>1335</v>
      </c>
      <c r="L9" s="169"/>
    </row>
    <row r="10" s="1" customFormat="1" ht="18" spans="2:16">
      <c r="B10" s="169"/>
      <c r="C10" s="173"/>
      <c r="D10" s="187">
        <v>322750.513202896</v>
      </c>
      <c r="E10" s="188">
        <v>0.085026309291947</v>
      </c>
      <c r="F10" s="189">
        <v>0.209101612520774</v>
      </c>
      <c r="G10" s="180">
        <v>302891</v>
      </c>
      <c r="H10" s="180">
        <v>19315.1598164277</v>
      </c>
      <c r="I10" s="190">
        <v>0.825434180189217</v>
      </c>
      <c r="J10" s="191">
        <v>3.88321794871795</v>
      </c>
      <c r="K10" s="192" t="s">
        <v>719</v>
      </c>
      <c r="L10" s="169"/>
    </row>
    <row r="11" s="1" customFormat="1" ht="20.4" spans="2:16">
      <c r="B11" s="169"/>
      <c r="C11" s="173"/>
      <c r="D11" s="193" t="s">
        <v>1336</v>
      </c>
      <c r="E11" s="193"/>
      <c r="F11" s="193"/>
      <c r="G11" s="193"/>
      <c r="H11" s="193"/>
      <c r="I11" s="193"/>
      <c r="J11" s="194">
        <v>322750.513202896</v>
      </c>
      <c r="K11" s="195"/>
      <c r="L11" s="169"/>
    </row>
    <row r="12" s="1" customFormat="1" spans="2:16">
      <c r="B12" s="169"/>
      <c r="C12" s="196"/>
      <c r="D12" s="196"/>
      <c r="E12" s="2"/>
      <c r="F12" s="2"/>
      <c r="G12" s="2"/>
      <c r="H12" s="2"/>
      <c r="I12" s="2"/>
      <c r="J12" s="2"/>
      <c r="K12" s="2"/>
      <c r="L12" s="169"/>
    </row>
    <row r="13" s="1" customFormat="1" spans="2:16">
      <c r="B13" s="169"/>
      <c r="C13" s="197" t="s">
        <v>1337</v>
      </c>
      <c r="D13" s="196" t="s">
        <v>174</v>
      </c>
      <c r="E13" s="198" t="s">
        <v>213</v>
      </c>
      <c r="F13" s="199"/>
      <c r="G13" s="199"/>
      <c r="H13" s="199"/>
      <c r="I13" s="200">
        <v>0.0585259366421192</v>
      </c>
      <c r="J13" s="201">
        <v>4565.02305808529</v>
      </c>
      <c r="K13" s="2" t="s">
        <v>1338</v>
      </c>
      <c r="L13" s="169"/>
      <c r="M13" s="1">
        <f>J18+J26+J36</f>
        <v>322750.260472984</v>
      </c>
    </row>
    <row r="14" s="1" customFormat="1" spans="2:16">
      <c r="B14" s="169"/>
      <c r="C14" s="202"/>
      <c r="D14" s="196" t="s">
        <v>175</v>
      </c>
      <c r="E14" s="198" t="s">
        <v>1339</v>
      </c>
      <c r="F14" s="199"/>
      <c r="G14" s="199"/>
      <c r="H14" s="199"/>
      <c r="I14" s="200">
        <v>0.0756408965219038</v>
      </c>
      <c r="J14" s="201">
        <v>5899.98992870849</v>
      </c>
      <c r="K14" s="2" t="s">
        <v>1338</v>
      </c>
      <c r="L14" s="169"/>
    </row>
    <row r="15" s="1" customFormat="1" spans="2:16">
      <c r="B15" s="169"/>
      <c r="C15" s="202"/>
      <c r="D15" s="196" t="s">
        <v>176</v>
      </c>
      <c r="E15" s="198" t="s">
        <v>217</v>
      </c>
      <c r="F15" s="199"/>
      <c r="G15" s="199"/>
      <c r="H15" s="199"/>
      <c r="I15" s="200">
        <v>0.015</v>
      </c>
      <c r="J15" s="201">
        <v>1170</v>
      </c>
      <c r="K15" s="2" t="s">
        <v>1338</v>
      </c>
      <c r="L15" s="169"/>
    </row>
    <row r="16" s="1" customFormat="1" spans="2:16">
      <c r="B16" s="169"/>
      <c r="C16" s="202"/>
      <c r="D16" s="196" t="s">
        <v>1267</v>
      </c>
      <c r="E16" s="198" t="s">
        <v>1340</v>
      </c>
      <c r="F16" s="199"/>
      <c r="G16" s="199"/>
      <c r="H16" s="199"/>
      <c r="I16" s="200">
        <v>0.329826167387586</v>
      </c>
      <c r="J16" s="201">
        <v>25726.4410562317</v>
      </c>
      <c r="K16" s="203">
        <v>0.1</v>
      </c>
      <c r="L16" s="169"/>
    </row>
    <row r="17" s="1" customFormat="1" spans="2:12">
      <c r="B17" s="169"/>
      <c r="C17" s="202"/>
      <c r="D17" s="196" t="s">
        <v>1269</v>
      </c>
      <c r="E17" s="198"/>
      <c r="F17" s="199"/>
      <c r="G17" s="199"/>
      <c r="H17" s="199"/>
      <c r="I17" s="200">
        <v>0</v>
      </c>
      <c r="J17" s="201"/>
      <c r="K17" s="2"/>
      <c r="L17" s="169"/>
    </row>
    <row r="18" s="1" customFormat="1" spans="2:12">
      <c r="B18" s="169"/>
      <c r="C18" s="204"/>
      <c r="D18" s="205" t="s">
        <v>1341</v>
      </c>
      <c r="E18" s="206" t="s">
        <v>1342</v>
      </c>
      <c r="F18" s="206"/>
      <c r="G18" s="207">
        <v>285389.059159871</v>
      </c>
      <c r="H18" s="208" t="s">
        <v>1343</v>
      </c>
      <c r="I18" s="209"/>
      <c r="J18" s="210">
        <v>37361.4540430255</v>
      </c>
      <c r="K18" s="2"/>
      <c r="L18" s="169"/>
    </row>
    <row r="19" s="1" customFormat="1" ht="12" customHeight="1" spans="2:12">
      <c r="B19" s="169"/>
      <c r="C19" s="211"/>
      <c r="D19" s="211"/>
      <c r="E19" s="212"/>
      <c r="F19" s="212"/>
      <c r="G19" s="212"/>
      <c r="H19" s="212"/>
      <c r="I19" s="212"/>
      <c r="J19" s="212"/>
      <c r="K19" s="212"/>
      <c r="L19" s="169"/>
    </row>
    <row r="20" s="1" customFormat="1" spans="2:12">
      <c r="B20" s="169"/>
      <c r="C20" s="213" t="s">
        <v>1344</v>
      </c>
      <c r="D20" s="204"/>
      <c r="E20" s="196" t="s">
        <v>1272</v>
      </c>
      <c r="F20" s="196"/>
      <c r="G20" s="196"/>
      <c r="H20" s="196"/>
      <c r="I20" s="214" t="s">
        <v>1345</v>
      </c>
      <c r="J20" s="204"/>
      <c r="K20" s="204" t="s">
        <v>1346</v>
      </c>
      <c r="L20" s="169"/>
    </row>
    <row r="21" s="1" customFormat="1" spans="2:12">
      <c r="B21" s="169"/>
      <c r="C21" s="213"/>
      <c r="D21" s="196" t="s">
        <v>174</v>
      </c>
      <c r="E21" s="198" t="s">
        <v>1347</v>
      </c>
      <c r="F21" s="199"/>
      <c r="G21" s="199"/>
      <c r="H21" s="199"/>
      <c r="I21" s="200">
        <v>0.6</v>
      </c>
      <c r="J21" s="201">
        <v>46800</v>
      </c>
      <c r="K21" s="2" t="s">
        <v>1348</v>
      </c>
      <c r="L21" s="169"/>
    </row>
    <row r="22" s="1" customFormat="1" spans="2:12">
      <c r="B22" s="169"/>
      <c r="C22" s="213"/>
      <c r="D22" s="196" t="s">
        <v>175</v>
      </c>
      <c r="E22" s="198" t="s">
        <v>1349</v>
      </c>
      <c r="F22" s="199"/>
      <c r="G22" s="199"/>
      <c r="H22" s="199"/>
      <c r="I22" s="200">
        <v>0</v>
      </c>
      <c r="J22" s="201"/>
      <c r="K22" s="2" t="s">
        <v>1350</v>
      </c>
      <c r="L22" s="169"/>
    </row>
    <row r="23" s="1" customFormat="1" ht="56" customHeight="1" spans="2:12">
      <c r="B23" s="169"/>
      <c r="C23" s="213"/>
      <c r="D23" s="196" t="s">
        <v>176</v>
      </c>
      <c r="E23" s="215" t="s">
        <v>1351</v>
      </c>
      <c r="F23" s="216"/>
      <c r="G23" s="216"/>
      <c r="H23" s="216"/>
      <c r="I23" s="200">
        <v>0</v>
      </c>
      <c r="J23" s="201"/>
      <c r="K23" s="217" t="s">
        <v>1352</v>
      </c>
      <c r="L23" s="169"/>
    </row>
    <row r="24" s="1" customFormat="1" spans="2:12">
      <c r="B24" s="169"/>
      <c r="C24" s="213"/>
      <c r="D24" s="196" t="s">
        <v>1267</v>
      </c>
      <c r="E24" s="198"/>
      <c r="F24" s="199"/>
      <c r="G24" s="199"/>
      <c r="H24" s="199"/>
      <c r="I24" s="200">
        <v>0</v>
      </c>
      <c r="J24" s="201"/>
      <c r="K24" s="2"/>
      <c r="L24" s="169"/>
    </row>
    <row r="25" s="1" customFormat="1" ht="21" customHeight="1" spans="2:12">
      <c r="B25" s="169"/>
      <c r="C25" s="213"/>
      <c r="D25" s="196" t="s">
        <v>1269</v>
      </c>
      <c r="E25" s="198"/>
      <c r="F25" s="199"/>
      <c r="G25" s="199"/>
      <c r="H25" s="199"/>
      <c r="I25" s="200">
        <v>0</v>
      </c>
      <c r="J25" s="201"/>
      <c r="K25" s="2"/>
      <c r="L25" s="169"/>
    </row>
    <row r="26" s="1" customFormat="1" spans="2:12">
      <c r="B26" s="169"/>
      <c r="C26" s="213"/>
      <c r="D26" s="205" t="s">
        <v>1341</v>
      </c>
      <c r="E26" s="206" t="s">
        <v>1353</v>
      </c>
      <c r="F26" s="206"/>
      <c r="G26" s="207">
        <v>238589.059159871</v>
      </c>
      <c r="H26" s="208" t="s">
        <v>1354</v>
      </c>
      <c r="I26" s="209"/>
      <c r="J26" s="210">
        <v>46800</v>
      </c>
      <c r="K26" s="204"/>
      <c r="L26" s="169"/>
    </row>
    <row r="27" s="1" customFormat="1" ht="10" customHeight="1" spans="2:12">
      <c r="B27" s="169"/>
      <c r="C27" s="211"/>
      <c r="D27" s="211"/>
      <c r="E27" s="212"/>
      <c r="F27" s="212"/>
      <c r="G27" s="212"/>
      <c r="H27" s="212"/>
      <c r="I27" s="212"/>
      <c r="J27" s="212"/>
      <c r="K27" s="212"/>
      <c r="L27" s="169"/>
    </row>
    <row r="28" s="1" customFormat="1" spans="2:12">
      <c r="B28" s="169"/>
      <c r="C28" s="173" t="s">
        <v>1355</v>
      </c>
      <c r="D28" s="204" t="s">
        <v>174</v>
      </c>
      <c r="E28" s="198" t="s">
        <v>1356</v>
      </c>
      <c r="F28" s="199"/>
      <c r="G28" s="199"/>
      <c r="H28" s="199"/>
      <c r="I28" s="200">
        <v>1.6</v>
      </c>
      <c r="J28" s="201">
        <v>124800</v>
      </c>
      <c r="K28" s="218" t="s">
        <v>1357</v>
      </c>
      <c r="L28" s="169"/>
    </row>
    <row r="29" s="1" customFormat="1" spans="2:12">
      <c r="B29" s="169"/>
      <c r="C29" s="196"/>
      <c r="D29" s="196" t="s">
        <v>175</v>
      </c>
      <c r="E29" s="198" t="s">
        <v>1358</v>
      </c>
      <c r="F29" s="199"/>
      <c r="G29" s="199"/>
      <c r="H29" s="199"/>
      <c r="I29" s="200">
        <v>0.512025641025641</v>
      </c>
      <c r="J29" s="201">
        <v>39938</v>
      </c>
      <c r="K29" s="2" t="s">
        <v>1357</v>
      </c>
      <c r="L29" s="169"/>
    </row>
    <row r="30" s="1" customFormat="1" spans="2:12">
      <c r="B30" s="169"/>
      <c r="C30" s="196"/>
      <c r="D30" s="196" t="s">
        <v>176</v>
      </c>
      <c r="E30" s="198" t="s">
        <v>1359</v>
      </c>
      <c r="F30" s="199"/>
      <c r="G30" s="199"/>
      <c r="H30" s="199"/>
      <c r="I30" s="200">
        <v>0.32051282051282</v>
      </c>
      <c r="J30" s="201">
        <v>25000</v>
      </c>
      <c r="K30" s="229" t="s">
        <v>1360</v>
      </c>
      <c r="L30" s="169"/>
    </row>
    <row r="31" s="1" customFormat="1" spans="2:12">
      <c r="B31" s="169"/>
      <c r="C31" s="196"/>
      <c r="D31" s="196" t="s">
        <v>1267</v>
      </c>
      <c r="E31" s="215" t="s">
        <v>1361</v>
      </c>
      <c r="F31" s="216"/>
      <c r="G31" s="216"/>
      <c r="H31" s="216"/>
      <c r="I31" s="200">
        <v>0.113846153846154</v>
      </c>
      <c r="J31" s="201">
        <v>8880</v>
      </c>
      <c r="K31" s="229" t="s">
        <v>1362</v>
      </c>
      <c r="L31" s="169"/>
    </row>
    <row r="32" s="1" customFormat="1" spans="2:12">
      <c r="B32" s="169"/>
      <c r="C32" s="196"/>
      <c r="D32" s="196" t="s">
        <v>1269</v>
      </c>
      <c r="E32" s="198" t="s">
        <v>1363</v>
      </c>
      <c r="F32" s="199"/>
      <c r="G32" s="199"/>
      <c r="H32" s="199"/>
      <c r="I32" s="200">
        <v>0.143589743589744</v>
      </c>
      <c r="J32" s="201">
        <v>11200</v>
      </c>
      <c r="K32" s="2" t="s">
        <v>1364</v>
      </c>
      <c r="L32" s="169"/>
    </row>
    <row r="33" s="1" customFormat="1" spans="2:12">
      <c r="B33" s="169"/>
      <c r="C33" s="196"/>
      <c r="D33" s="196" t="s">
        <v>1286</v>
      </c>
      <c r="E33" s="220" t="s">
        <v>400</v>
      </c>
      <c r="F33" s="221"/>
      <c r="G33" s="221"/>
      <c r="H33" s="221"/>
      <c r="I33" s="222">
        <v>0.128205128205128</v>
      </c>
      <c r="J33" s="201">
        <v>10000</v>
      </c>
      <c r="K33" s="228" t="s">
        <v>1365</v>
      </c>
      <c r="L33" s="169"/>
    </row>
    <row r="34" s="1" customFormat="1" spans="2:12">
      <c r="B34" s="169"/>
      <c r="C34" s="196"/>
      <c r="D34" s="196" t="s">
        <v>1288</v>
      </c>
      <c r="E34" s="220"/>
      <c r="F34" s="221"/>
      <c r="G34" s="221"/>
      <c r="H34" s="221"/>
      <c r="I34" s="2"/>
      <c r="J34" s="2">
        <v>0</v>
      </c>
      <c r="K34" s="2"/>
      <c r="L34" s="169"/>
    </row>
    <row r="35" s="1" customFormat="1" spans="2:12">
      <c r="B35" s="169"/>
      <c r="C35" s="196"/>
      <c r="D35" s="196" t="s">
        <v>703</v>
      </c>
      <c r="E35" s="198" t="s">
        <v>1366</v>
      </c>
      <c r="F35" s="199"/>
      <c r="G35" s="199"/>
      <c r="H35" s="199"/>
      <c r="I35" s="200">
        <v>0.240651364486652</v>
      </c>
      <c r="J35" s="201">
        <v>18770.8064299589</v>
      </c>
      <c r="K35" s="2" t="s">
        <v>1350</v>
      </c>
      <c r="L35" s="169"/>
    </row>
    <row r="36" s="1" customFormat="1" spans="2:12">
      <c r="B36" s="169"/>
      <c r="C36" s="196"/>
      <c r="D36" s="205" t="s">
        <v>1341</v>
      </c>
      <c r="E36" s="223" t="s">
        <v>1367</v>
      </c>
      <c r="F36" s="223"/>
      <c r="G36" s="224">
        <v>0.252729912113864</v>
      </c>
      <c r="H36" s="225" t="s">
        <v>1368</v>
      </c>
      <c r="I36" s="226"/>
      <c r="J36" s="227">
        <v>238588.806429959</v>
      </c>
      <c r="K36" s="196"/>
      <c r="L36" s="169"/>
    </row>
    <row r="37" s="169" customFormat="1" ht="5" customHeight="1" spans="2:12">
      <c r="C37" s="170"/>
      <c r="D37" s="170"/>
    </row>
    <row r="38" s="1" customFormat="1" spans="2:12">
      <c r="B38" s="169"/>
      <c r="C38" s="34"/>
      <c r="D38" s="34"/>
      <c r="E38" s="1"/>
      <c r="F38" s="1"/>
      <c r="G38" s="1"/>
      <c r="H38" s="1"/>
      <c r="I38" s="1"/>
      <c r="J38" s="1"/>
      <c r="K38" s="1"/>
      <c r="L38" s="169"/>
    </row>
    <row r="39" s="1" customFormat="1" spans="2:12">
      <c r="B39" s="169"/>
      <c r="C39" s="34"/>
      <c r="D39" s="34"/>
      <c r="L39" s="169"/>
    </row>
    <row r="40" s="1" customFormat="1" spans="2:12">
      <c r="B40" s="169"/>
      <c r="C40" s="34"/>
      <c r="D40" s="34"/>
      <c r="L40" s="169"/>
    </row>
  </sheetData>
  <mergeCells count="35">
    <mergeCell ref="C5:K5"/>
    <mergeCell ref="D8:K8"/>
    <mergeCell ref="D11:I11"/>
    <mergeCell ref="C12:K12"/>
    <mergeCell ref="E13:H13"/>
    <mergeCell ref="E14:H14"/>
    <mergeCell ref="E15:H15"/>
    <mergeCell ref="E16:H16"/>
    <mergeCell ref="E17:H17"/>
    <mergeCell ref="E18:F18"/>
    <mergeCell ref="H18:I18"/>
    <mergeCell ref="C19:K19"/>
    <mergeCell ref="E20:H20"/>
    <mergeCell ref="E21:H21"/>
    <mergeCell ref="E22:H22"/>
    <mergeCell ref="E23:H23"/>
    <mergeCell ref="E24:H24"/>
    <mergeCell ref="E25:H25"/>
    <mergeCell ref="E26:F26"/>
    <mergeCell ref="H26:I26"/>
    <mergeCell ref="C27:K27"/>
    <mergeCell ref="E28:H28"/>
    <mergeCell ref="E29:H29"/>
    <mergeCell ref="E30:H30"/>
    <mergeCell ref="E31:H31"/>
    <mergeCell ref="E32:H32"/>
    <mergeCell ref="E33:H33"/>
    <mergeCell ref="E34:H34"/>
    <mergeCell ref="E35:H35"/>
    <mergeCell ref="E36:F36"/>
    <mergeCell ref="H36:I36"/>
    <mergeCell ref="C6:C11"/>
    <mergeCell ref="C13:C18"/>
    <mergeCell ref="C20:C26"/>
    <mergeCell ref="C28:C36"/>
  </mergeCells>
  <pageMargins left="0.75" right="0.75" top="1" bottom="1" header="0.5" footer="0.5"/>
  <pageSetup paperSize="9"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B4:M40"/>
  <sheetViews>
    <sheetView showZeros="0" zoomScale="97" zoomScaleNormal="97" workbookViewId="0">
      <selection activeCell="I44" sqref="I44"/>
    </sheetView>
  </sheetViews>
  <sheetFormatPr defaultColWidth="9.0625" defaultRowHeight="17.6"/>
  <cols>
    <col min="1" max="1" width="9.0625" style="1"/>
    <col min="2" max="2" width="1.30357142857143" style="169" customWidth="1"/>
    <col min="3" max="3" width="9.0625" style="34"/>
    <col min="4" max="4" width="11.9375" style="34" customWidth="1"/>
    <col min="5" max="5" width="13.6517857142857" style="1" customWidth="1"/>
    <col min="6" max="6" width="16.6160714285714" style="1" customWidth="1"/>
    <col min="7" max="7" width="12.3571428571429" style="1" customWidth="1"/>
    <col min="8" max="8" width="15.4196428571429" style="1" customWidth="1"/>
    <col min="9" max="9" width="13.1875" style="1" customWidth="1"/>
    <col min="10" max="11" width="14.4375" style="1" customWidth="1"/>
    <col min="12" max="12" width="1.30357142857143" style="169" customWidth="1"/>
    <col min="13" max="13" width="12.6696428571429" style="1"/>
    <col min="14" max="15" width="9.0625" style="1"/>
    <col min="16" max="16" width="12.6696428571429" style="1"/>
    <col min="17" max="16384" width="9.0625" style="1"/>
  </cols>
  <sheetData>
    <row r="4" s="169" customFormat="1" ht="7" customHeight="1" spans="2:13">
      <c r="C4" s="170"/>
      <c r="D4" s="170"/>
    </row>
    <row r="5" s="1" customFormat="1" ht="56" customHeight="1" spans="2:13">
      <c r="B5" s="169"/>
      <c r="C5" s="171" t="s">
        <v>1369</v>
      </c>
      <c r="D5" s="172"/>
      <c r="E5" s="172"/>
      <c r="F5" s="172"/>
      <c r="G5" s="172"/>
      <c r="H5" s="172"/>
      <c r="I5" s="172"/>
      <c r="J5" s="172"/>
      <c r="K5" s="172"/>
      <c r="L5" s="169"/>
    </row>
    <row r="6" s="1" customFormat="1" ht="61" spans="2:13">
      <c r="B6" s="169"/>
      <c r="C6" s="173" t="s">
        <v>1321</v>
      </c>
      <c r="D6" s="174" t="s">
        <v>1322</v>
      </c>
      <c r="E6" s="175" t="s">
        <v>1323</v>
      </c>
      <c r="F6" s="175" t="s">
        <v>881</v>
      </c>
      <c r="G6" s="175" t="s">
        <v>882</v>
      </c>
      <c r="H6" s="175" t="s">
        <v>1324</v>
      </c>
      <c r="I6" s="176" t="s">
        <v>956</v>
      </c>
      <c r="J6" s="176" t="s">
        <v>1325</v>
      </c>
      <c r="K6" s="177" t="s">
        <v>959</v>
      </c>
      <c r="L6" s="169"/>
    </row>
    <row r="7" s="1" customFormat="1" ht="18" spans="2:13">
      <c r="B7" s="169"/>
      <c r="C7" s="173"/>
      <c r="D7" s="178" t="s">
        <v>1326</v>
      </c>
      <c r="E7" s="179">
        <v>0.05</v>
      </c>
      <c r="F7" s="180">
        <v>1529.92</v>
      </c>
      <c r="G7" s="181" t="s">
        <v>1327</v>
      </c>
      <c r="H7" s="182">
        <v>0</v>
      </c>
      <c r="I7" s="183">
        <v>1232.7</v>
      </c>
      <c r="J7" s="183">
        <v>356</v>
      </c>
      <c r="K7" s="183">
        <v>544</v>
      </c>
      <c r="L7" s="169"/>
    </row>
    <row r="8" s="1" customFormat="1" ht="5" customHeight="1" spans="2:13">
      <c r="B8" s="169"/>
      <c r="C8" s="173"/>
      <c r="D8" s="184"/>
      <c r="E8" s="185"/>
      <c r="F8" s="185"/>
      <c r="G8" s="185"/>
      <c r="H8" s="185"/>
      <c r="I8" s="185"/>
      <c r="J8" s="185"/>
      <c r="K8" s="185"/>
      <c r="L8" s="169"/>
    </row>
    <row r="9" s="1" customFormat="1" ht="51" spans="2:13">
      <c r="B9" s="169"/>
      <c r="C9" s="173"/>
      <c r="D9" s="186" t="s">
        <v>1328</v>
      </c>
      <c r="E9" s="175" t="s">
        <v>1329</v>
      </c>
      <c r="F9" s="175" t="s">
        <v>1330</v>
      </c>
      <c r="G9" s="175" t="s">
        <v>1331</v>
      </c>
      <c r="H9" s="175" t="s">
        <v>1332</v>
      </c>
      <c r="I9" s="175" t="s">
        <v>1333</v>
      </c>
      <c r="J9" s="175" t="s">
        <v>1334</v>
      </c>
      <c r="K9" s="176" t="s">
        <v>1335</v>
      </c>
      <c r="L9" s="169"/>
    </row>
    <row r="10" s="1" customFormat="1" ht="18" spans="2:13">
      <c r="B10" s="169"/>
      <c r="C10" s="173"/>
      <c r="D10" s="187">
        <v>339201.513202896</v>
      </c>
      <c r="E10" s="188">
        <v>0.103483550615675</v>
      </c>
      <c r="F10" s="189">
        <v>0.206642104760077</v>
      </c>
      <c r="G10" s="180">
        <v>319342</v>
      </c>
      <c r="H10" s="180">
        <v>19315.1598164277</v>
      </c>
      <c r="I10" s="190">
        <v>0.825434180189217</v>
      </c>
      <c r="J10" s="191">
        <v>4.09412820512821</v>
      </c>
      <c r="K10" s="192" t="s">
        <v>719</v>
      </c>
      <c r="L10" s="169"/>
    </row>
    <row r="11" s="1" customFormat="1" ht="20.4" spans="2:13">
      <c r="B11" s="169"/>
      <c r="C11" s="173"/>
      <c r="D11" s="193" t="s">
        <v>1370</v>
      </c>
      <c r="E11" s="193"/>
      <c r="F11" s="193"/>
      <c r="G11" s="193"/>
      <c r="H11" s="193"/>
      <c r="I11" s="193"/>
      <c r="J11" s="194">
        <v>339201.513202896</v>
      </c>
      <c r="K11" s="195"/>
      <c r="L11" s="169"/>
    </row>
    <row r="12" s="1" customFormat="1" spans="2:13">
      <c r="B12" s="169"/>
      <c r="C12" s="196"/>
      <c r="D12" s="196"/>
      <c r="E12" s="2"/>
      <c r="F12" s="2"/>
      <c r="G12" s="2"/>
      <c r="H12" s="2"/>
      <c r="I12" s="2"/>
      <c r="J12" s="2"/>
      <c r="K12" s="2"/>
      <c r="L12" s="169"/>
    </row>
    <row r="13" s="1" customFormat="1" spans="2:13">
      <c r="B13" s="169"/>
      <c r="C13" s="197" t="s">
        <v>1337</v>
      </c>
      <c r="D13" s="196" t="s">
        <v>174</v>
      </c>
      <c r="E13" s="198" t="s">
        <v>213</v>
      </c>
      <c r="F13" s="199"/>
      <c r="G13" s="199"/>
      <c r="H13" s="199"/>
      <c r="I13" s="200">
        <v>0.0615199308182898</v>
      </c>
      <c r="J13" s="201">
        <v>4798.5546038266</v>
      </c>
      <c r="K13" s="2" t="s">
        <v>1338</v>
      </c>
      <c r="L13" s="169"/>
      <c r="M13" s="1">
        <f>J18+J26+J36</f>
        <v>339201.754140533</v>
      </c>
    </row>
    <row r="14" s="1" customFormat="1" spans="2:13">
      <c r="B14" s="169"/>
      <c r="C14" s="202"/>
      <c r="D14" s="196" t="s">
        <v>175</v>
      </c>
      <c r="E14" s="198" t="s">
        <v>1339</v>
      </c>
      <c r="F14" s="199"/>
      <c r="G14" s="199"/>
      <c r="H14" s="199"/>
      <c r="I14" s="200">
        <v>0.0793701544937943</v>
      </c>
      <c r="J14" s="201">
        <v>6190.87205051596</v>
      </c>
      <c r="K14" s="2" t="s">
        <v>1338</v>
      </c>
      <c r="L14" s="169"/>
    </row>
    <row r="15" s="1" customFormat="1" spans="2:13">
      <c r="B15" s="169"/>
      <c r="C15" s="202"/>
      <c r="D15" s="196" t="s">
        <v>176</v>
      </c>
      <c r="E15" s="198" t="s">
        <v>217</v>
      </c>
      <c r="F15" s="199"/>
      <c r="G15" s="199"/>
      <c r="H15" s="199"/>
      <c r="I15" s="200">
        <v>0.015</v>
      </c>
      <c r="J15" s="201">
        <v>1170</v>
      </c>
      <c r="K15" s="2" t="s">
        <v>1338</v>
      </c>
      <c r="L15" s="169"/>
    </row>
    <row r="16" s="1" customFormat="1" spans="2:13">
      <c r="B16" s="169"/>
      <c r="C16" s="202"/>
      <c r="D16" s="196" t="s">
        <v>1267</v>
      </c>
      <c r="E16" s="198" t="s">
        <v>1340</v>
      </c>
      <c r="F16" s="199"/>
      <c r="G16" s="199"/>
      <c r="H16" s="199"/>
      <c r="I16" s="200">
        <v>0.346698987900407</v>
      </c>
      <c r="J16" s="201">
        <v>27042.5210562317</v>
      </c>
      <c r="K16" s="203">
        <v>0.1</v>
      </c>
      <c r="L16" s="169"/>
    </row>
    <row r="17" s="1" customFormat="1" spans="2:12">
      <c r="B17" s="169"/>
      <c r="C17" s="202"/>
      <c r="D17" s="196" t="s">
        <v>1269</v>
      </c>
      <c r="E17" s="198"/>
      <c r="F17" s="199"/>
      <c r="G17" s="199"/>
      <c r="H17" s="199"/>
      <c r="I17" s="200">
        <v>0</v>
      </c>
      <c r="J17" s="201"/>
      <c r="K17" s="2"/>
      <c r="L17" s="169"/>
    </row>
    <row r="18" s="1" customFormat="1" spans="2:12">
      <c r="B18" s="169"/>
      <c r="C18" s="204"/>
      <c r="D18" s="205" t="s">
        <v>1341</v>
      </c>
      <c r="E18" s="206" t="s">
        <v>1342</v>
      </c>
      <c r="F18" s="206"/>
      <c r="G18" s="207">
        <v>299999.565492322</v>
      </c>
      <c r="H18" s="208" t="s">
        <v>1343</v>
      </c>
      <c r="I18" s="209"/>
      <c r="J18" s="210">
        <v>39201.9477105743</v>
      </c>
      <c r="K18" s="2"/>
      <c r="L18" s="169"/>
    </row>
    <row r="19" s="1" customFormat="1" ht="12" customHeight="1" spans="2:12">
      <c r="B19" s="169"/>
      <c r="C19" s="211"/>
      <c r="D19" s="211"/>
      <c r="E19" s="212"/>
      <c r="F19" s="212"/>
      <c r="G19" s="212"/>
      <c r="H19" s="212"/>
      <c r="I19" s="212"/>
      <c r="J19" s="212"/>
      <c r="K19" s="212"/>
      <c r="L19" s="169"/>
    </row>
    <row r="20" s="1" customFormat="1" spans="2:12">
      <c r="B20" s="169"/>
      <c r="C20" s="213" t="s">
        <v>1344</v>
      </c>
      <c r="D20" s="204"/>
      <c r="E20" s="196" t="s">
        <v>1272</v>
      </c>
      <c r="F20" s="196"/>
      <c r="G20" s="196"/>
      <c r="H20" s="196"/>
      <c r="I20" s="214" t="s">
        <v>1345</v>
      </c>
      <c r="J20" s="204"/>
      <c r="K20" s="204" t="s">
        <v>1346</v>
      </c>
      <c r="L20" s="169"/>
    </row>
    <row r="21" s="1" customFormat="1" spans="2:12">
      <c r="B21" s="169"/>
      <c r="C21" s="213"/>
      <c r="D21" s="196" t="s">
        <v>174</v>
      </c>
      <c r="E21" s="198" t="s">
        <v>1347</v>
      </c>
      <c r="F21" s="199"/>
      <c r="G21" s="199"/>
      <c r="H21" s="199"/>
      <c r="I21" s="200">
        <v>0.6</v>
      </c>
      <c r="J21" s="201">
        <v>46800</v>
      </c>
      <c r="K21" s="2" t="s">
        <v>1348</v>
      </c>
      <c r="L21" s="169"/>
    </row>
    <row r="22" s="1" customFormat="1" spans="2:12">
      <c r="B22" s="169"/>
      <c r="C22" s="213"/>
      <c r="D22" s="196" t="s">
        <v>175</v>
      </c>
      <c r="E22" s="198" t="s">
        <v>1349</v>
      </c>
      <c r="F22" s="199"/>
      <c r="G22" s="199"/>
      <c r="H22" s="199"/>
      <c r="I22" s="200">
        <v>0</v>
      </c>
      <c r="J22" s="201"/>
      <c r="K22" s="2" t="s">
        <v>1350</v>
      </c>
      <c r="L22" s="169"/>
    </row>
    <row r="23" s="1" customFormat="1" ht="56" customHeight="1" spans="2:12">
      <c r="B23" s="169"/>
      <c r="C23" s="213"/>
      <c r="D23" s="196" t="s">
        <v>176</v>
      </c>
      <c r="E23" s="215" t="s">
        <v>1351</v>
      </c>
      <c r="F23" s="216"/>
      <c r="G23" s="216"/>
      <c r="H23" s="216"/>
      <c r="I23" s="200">
        <v>0</v>
      </c>
      <c r="J23" s="201"/>
      <c r="K23" s="217" t="s">
        <v>1352</v>
      </c>
      <c r="L23" s="169"/>
    </row>
    <row r="24" s="1" customFormat="1" spans="2:12">
      <c r="B24" s="169"/>
      <c r="C24" s="213"/>
      <c r="D24" s="196" t="s">
        <v>1267</v>
      </c>
      <c r="E24" s="198"/>
      <c r="F24" s="199"/>
      <c r="G24" s="199"/>
      <c r="H24" s="199"/>
      <c r="I24" s="200">
        <v>0</v>
      </c>
      <c r="J24" s="201"/>
      <c r="K24" s="2"/>
      <c r="L24" s="169"/>
    </row>
    <row r="25" s="1" customFormat="1" ht="21" customHeight="1" spans="2:12">
      <c r="B25" s="169"/>
      <c r="C25" s="213"/>
      <c r="D25" s="196" t="s">
        <v>1269</v>
      </c>
      <c r="E25" s="198"/>
      <c r="F25" s="199"/>
      <c r="G25" s="199"/>
      <c r="H25" s="199"/>
      <c r="I25" s="200">
        <v>0</v>
      </c>
      <c r="J25" s="201"/>
      <c r="K25" s="2"/>
      <c r="L25" s="169"/>
    </row>
    <row r="26" s="1" customFormat="1" spans="2:12">
      <c r="B26" s="169"/>
      <c r="C26" s="213"/>
      <c r="D26" s="205" t="s">
        <v>1341</v>
      </c>
      <c r="E26" s="206" t="s">
        <v>1353</v>
      </c>
      <c r="F26" s="206"/>
      <c r="G26" s="207">
        <v>253199.565492322</v>
      </c>
      <c r="H26" s="208" t="s">
        <v>1354</v>
      </c>
      <c r="I26" s="209"/>
      <c r="J26" s="210">
        <v>46800</v>
      </c>
      <c r="K26" s="204"/>
      <c r="L26" s="169"/>
    </row>
    <row r="27" s="1" customFormat="1" ht="10" customHeight="1" spans="2:12">
      <c r="B27" s="169"/>
      <c r="C27" s="211"/>
      <c r="D27" s="211"/>
      <c r="E27" s="212"/>
      <c r="F27" s="212"/>
      <c r="G27" s="212"/>
      <c r="H27" s="212"/>
      <c r="I27" s="212"/>
      <c r="J27" s="212"/>
      <c r="K27" s="212"/>
      <c r="L27" s="169"/>
    </row>
    <row r="28" s="1" customFormat="1" spans="2:12">
      <c r="B28" s="169"/>
      <c r="C28" s="173" t="s">
        <v>1355</v>
      </c>
      <c r="D28" s="204" t="s">
        <v>174</v>
      </c>
      <c r="E28" s="198" t="s">
        <v>1356</v>
      </c>
      <c r="F28" s="199"/>
      <c r="G28" s="199"/>
      <c r="H28" s="199"/>
      <c r="I28" s="200">
        <v>1.6</v>
      </c>
      <c r="J28" s="201">
        <v>124800</v>
      </c>
      <c r="K28" s="218" t="s">
        <v>1357</v>
      </c>
      <c r="L28" s="169"/>
    </row>
    <row r="29" s="1" customFormat="1" spans="2:12">
      <c r="B29" s="169"/>
      <c r="C29" s="196"/>
      <c r="D29" s="196" t="s">
        <v>175</v>
      </c>
      <c r="E29" s="198" t="s">
        <v>1358</v>
      </c>
      <c r="F29" s="199"/>
      <c r="G29" s="199"/>
      <c r="H29" s="199"/>
      <c r="I29" s="200">
        <v>0.512025641025641</v>
      </c>
      <c r="J29" s="201">
        <v>39938</v>
      </c>
      <c r="K29" s="2" t="s">
        <v>1357</v>
      </c>
      <c r="L29" s="169"/>
    </row>
    <row r="30" s="1" customFormat="1" spans="2:12">
      <c r="B30" s="169"/>
      <c r="C30" s="196"/>
      <c r="D30" s="196" t="s">
        <v>176</v>
      </c>
      <c r="E30" s="198" t="s">
        <v>1359</v>
      </c>
      <c r="F30" s="199"/>
      <c r="G30" s="199"/>
      <c r="H30" s="199"/>
      <c r="I30" s="200">
        <v>0.436538461538462</v>
      </c>
      <c r="J30" s="201">
        <v>34050</v>
      </c>
      <c r="K30" s="2" t="s">
        <v>1357</v>
      </c>
      <c r="L30" s="169"/>
    </row>
    <row r="31" s="1" customFormat="1" spans="2:12">
      <c r="B31" s="169"/>
      <c r="C31" s="196"/>
      <c r="D31" s="196" t="s">
        <v>1267</v>
      </c>
      <c r="E31" s="215" t="s">
        <v>1361</v>
      </c>
      <c r="F31" s="216"/>
      <c r="G31" s="216"/>
      <c r="H31" s="216"/>
      <c r="I31" s="200">
        <v>0.154487179487179</v>
      </c>
      <c r="J31" s="201">
        <v>12050</v>
      </c>
      <c r="K31" s="2" t="s">
        <v>1357</v>
      </c>
      <c r="L31" s="169"/>
    </row>
    <row r="32" s="1" customFormat="1" spans="2:12">
      <c r="B32" s="169"/>
      <c r="C32" s="196"/>
      <c r="D32" s="196" t="s">
        <v>1269</v>
      </c>
      <c r="E32" s="198" t="s">
        <v>1363</v>
      </c>
      <c r="F32" s="199"/>
      <c r="G32" s="199"/>
      <c r="H32" s="199"/>
      <c r="I32" s="200">
        <v>0.143589743589744</v>
      </c>
      <c r="J32" s="201">
        <v>11200</v>
      </c>
      <c r="K32" s="2" t="s">
        <v>1364</v>
      </c>
      <c r="L32" s="169"/>
    </row>
    <row r="33" s="1" customFormat="1" spans="2:12">
      <c r="B33" s="169"/>
      <c r="C33" s="196"/>
      <c r="D33" s="196" t="s">
        <v>1286</v>
      </c>
      <c r="E33" s="220" t="s">
        <v>400</v>
      </c>
      <c r="F33" s="221"/>
      <c r="G33" s="221"/>
      <c r="H33" s="221"/>
      <c r="I33" s="222">
        <v>0.158858974358974</v>
      </c>
      <c r="J33" s="201">
        <v>12391</v>
      </c>
      <c r="K33" s="228" t="s">
        <v>1371</v>
      </c>
      <c r="L33" s="169"/>
    </row>
    <row r="34" s="1" customFormat="1" spans="2:12">
      <c r="B34" s="169"/>
      <c r="C34" s="196"/>
      <c r="D34" s="196" t="s">
        <v>1288</v>
      </c>
      <c r="E34" s="220"/>
      <c r="F34" s="221"/>
      <c r="G34" s="221"/>
      <c r="H34" s="221"/>
      <c r="I34" s="2"/>
      <c r="J34" s="2"/>
      <c r="K34" s="2"/>
      <c r="L34" s="169"/>
    </row>
    <row r="35" s="1" customFormat="1" spans="2:12">
      <c r="B35" s="169"/>
      <c r="C35" s="196"/>
      <c r="D35" s="196" t="s">
        <v>703</v>
      </c>
      <c r="E35" s="198" t="s">
        <v>1366</v>
      </c>
      <c r="F35" s="199"/>
      <c r="G35" s="199"/>
      <c r="H35" s="199"/>
      <c r="I35" s="200">
        <v>0.240651364486652</v>
      </c>
      <c r="J35" s="201">
        <v>18770.8064299589</v>
      </c>
      <c r="K35" s="2" t="s">
        <v>1350</v>
      </c>
      <c r="L35" s="169"/>
    </row>
    <row r="36" s="1" customFormat="1" spans="2:12">
      <c r="B36" s="169"/>
      <c r="C36" s="196"/>
      <c r="D36" s="205" t="s">
        <v>1341</v>
      </c>
      <c r="E36" s="223" t="s">
        <v>1367</v>
      </c>
      <c r="F36" s="223"/>
      <c r="G36" s="224">
        <v>-0.24093763664132</v>
      </c>
      <c r="H36" s="225" t="s">
        <v>1368</v>
      </c>
      <c r="I36" s="226"/>
      <c r="J36" s="227">
        <v>253199.806429959</v>
      </c>
      <c r="K36" s="196"/>
      <c r="L36" s="169"/>
    </row>
    <row r="37" s="169" customFormat="1" ht="5" customHeight="1" spans="2:12">
      <c r="C37" s="170"/>
      <c r="D37" s="170"/>
    </row>
    <row r="38" s="1" customFormat="1" spans="2:12">
      <c r="B38" s="169"/>
      <c r="C38" s="34"/>
      <c r="D38" s="34"/>
      <c r="E38" s="1"/>
      <c r="F38" s="1"/>
      <c r="G38" s="1"/>
      <c r="H38" s="1"/>
      <c r="I38" s="1"/>
      <c r="J38" s="1"/>
      <c r="K38" s="1"/>
      <c r="L38" s="169"/>
    </row>
    <row r="39" s="1" customFormat="1" spans="2:12">
      <c r="B39" s="169"/>
      <c r="C39" s="34"/>
      <c r="D39" s="34"/>
      <c r="L39" s="169"/>
    </row>
    <row r="40" s="1" customFormat="1" spans="2:12">
      <c r="B40" s="169"/>
      <c r="C40" s="34"/>
      <c r="D40" s="34"/>
      <c r="L40" s="169"/>
    </row>
  </sheetData>
  <mergeCells count="35">
    <mergeCell ref="C5:K5"/>
    <mergeCell ref="D8:K8"/>
    <mergeCell ref="D11:I11"/>
    <mergeCell ref="C12:K12"/>
    <mergeCell ref="E13:H13"/>
    <mergeCell ref="E14:H14"/>
    <mergeCell ref="E15:H15"/>
    <mergeCell ref="E16:H16"/>
    <mergeCell ref="E17:H17"/>
    <mergeCell ref="E18:F18"/>
    <mergeCell ref="H18:I18"/>
    <mergeCell ref="C19:K19"/>
    <mergeCell ref="E20:H20"/>
    <mergeCell ref="E21:H21"/>
    <mergeCell ref="E22:H22"/>
    <mergeCell ref="E23:H23"/>
    <mergeCell ref="E24:H24"/>
    <mergeCell ref="E25:H25"/>
    <mergeCell ref="E26:F26"/>
    <mergeCell ref="H26:I26"/>
    <mergeCell ref="C27:K27"/>
    <mergeCell ref="E28:H28"/>
    <mergeCell ref="E29:H29"/>
    <mergeCell ref="E30:H30"/>
    <mergeCell ref="E31:H31"/>
    <mergeCell ref="E32:H32"/>
    <mergeCell ref="E33:H33"/>
    <mergeCell ref="E34:H34"/>
    <mergeCell ref="E35:H35"/>
    <mergeCell ref="E36:F36"/>
    <mergeCell ref="H36:I36"/>
    <mergeCell ref="C6:C11"/>
    <mergeCell ref="C13:C18"/>
    <mergeCell ref="C20:C26"/>
    <mergeCell ref="C28:C36"/>
  </mergeCells>
  <pageMargins left="0.75" right="0.75" top="1" bottom="1" header="0.5" footer="0.5"/>
  <pageSetup paperSize="9"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B4:M40"/>
  <sheetViews>
    <sheetView showZeros="0" zoomScale="98" zoomScaleNormal="98" workbookViewId="0">
      <selection activeCell="I44" sqref="I44"/>
    </sheetView>
  </sheetViews>
  <sheetFormatPr defaultColWidth="9.0625" defaultRowHeight="17.6"/>
  <cols>
    <col min="1" max="1" width="9.0625" style="1"/>
    <col min="2" max="2" width="1.30357142857143" style="169" customWidth="1"/>
    <col min="3" max="3" width="9.0625" style="34"/>
    <col min="4" max="4" width="11.9375" style="34" customWidth="1"/>
    <col min="5" max="5" width="13.6517857142857" style="1" customWidth="1"/>
    <col min="6" max="6" width="16.6160714285714" style="1" customWidth="1"/>
    <col min="7" max="7" width="12.3571428571429" style="1" customWidth="1"/>
    <col min="8" max="8" width="15.4196428571429" style="1" customWidth="1"/>
    <col min="9" max="9" width="13.1875" style="1" customWidth="1"/>
    <col min="10" max="11" width="14.4375" style="1" customWidth="1"/>
    <col min="12" max="12" width="1.30357142857143" style="169" customWidth="1"/>
    <col min="13" max="13" width="12.6696428571429" style="1"/>
    <col min="14" max="15" width="9.0625" style="1"/>
    <col min="16" max="16" width="12.6696428571429" style="1"/>
    <col min="17" max="16384" width="9.0625" style="1"/>
  </cols>
  <sheetData>
    <row r="4" s="169" customFormat="1" ht="7" customHeight="1" spans="2:13">
      <c r="C4" s="170"/>
      <c r="D4" s="170"/>
    </row>
    <row r="5" s="1" customFormat="1" ht="56" customHeight="1" spans="2:13">
      <c r="B5" s="169"/>
      <c r="C5" s="171" t="str">
        <f>"吉尔吉斯斯坦共和国-巴特肯州巴特肯区阿克塔特尔600兆瓦光伏发电项目投资构成情况
"&amp;"IRR="&amp;TEXT($E$10*100,"#,##.#0")&amp;"%"&amp;"（电价优惠期=25年）"</f>
        <v>吉尔吉斯斯坦共和国-巴特肯州巴特肯区阿克塔特尔600兆瓦光伏发电项目投资构成情况
IRR=11.60%（电价优惠期=25年）</v>
      </c>
      <c r="D5" s="172"/>
      <c r="E5" s="172"/>
      <c r="F5" s="172"/>
      <c r="G5" s="172"/>
      <c r="H5" s="172"/>
      <c r="I5" s="172"/>
      <c r="J5" s="172"/>
      <c r="K5" s="172"/>
      <c r="L5" s="169"/>
    </row>
    <row r="6" s="1" customFormat="1" ht="61" spans="2:13">
      <c r="B6" s="169"/>
      <c r="C6" s="173" t="s">
        <v>1321</v>
      </c>
      <c r="D6" s="174" t="str">
        <f>"交流/直流容量
（MW）
容配比 "&amp;TEXT(假设及结论!$F$13/假设及结论!$E$13,"#.##")</f>
        <v>交流/直流容量
（MW）
容配比 1.25</v>
      </c>
      <c r="E6" s="175" t="str">
        <f>"电价
"&amp;IF(假设及结论!$Q$7="NO","(不含税)","(含税)")&amp;"
(US$/kwh)"</f>
        <v>电价
(不含税)
(US$/kwh)</v>
      </c>
      <c r="F6" s="175" t="s">
        <v>881</v>
      </c>
      <c r="G6" s="175" t="s">
        <v>882</v>
      </c>
      <c r="H6" s="175" t="s">
        <v>1324</v>
      </c>
      <c r="I6" s="176" t="s">
        <v>956</v>
      </c>
      <c r="J6" s="176" t="s">
        <v>1325</v>
      </c>
      <c r="K6" s="177" t="s">
        <v>959</v>
      </c>
      <c r="L6" s="169"/>
    </row>
    <row r="7" s="1" customFormat="1" ht="18" spans="2:13">
      <c r="B7" s="169"/>
      <c r="C7" s="173"/>
      <c r="D7" s="178" t="str">
        <f>假设及结论!$C$7</f>
        <v>600 / 750</v>
      </c>
      <c r="E7" s="179">
        <f>假设及结论!$I$15/假设及结论!$I$21</f>
        <v>0.05</v>
      </c>
      <c r="F7" s="180">
        <f>假设及结论!$B$9</f>
        <v>1545</v>
      </c>
      <c r="G7" s="181" t="str">
        <f>假设及结论!$C$9</f>
        <v>30% / 1小时</v>
      </c>
      <c r="H7" s="182">
        <f>假设及结论!$M$13</f>
        <v>0</v>
      </c>
      <c r="I7" s="183">
        <f>假设及结论!$G$21</f>
        <v>1232.7</v>
      </c>
      <c r="J7" s="183">
        <f>假设及结论!$H$21</f>
        <v>180</v>
      </c>
      <c r="K7" s="183">
        <f>假设及结论!$J$21</f>
        <v>272</v>
      </c>
      <c r="L7" s="169"/>
    </row>
    <row r="8" s="1" customFormat="1" ht="5" customHeight="1" spans="2:13">
      <c r="B8" s="169"/>
      <c r="C8" s="173"/>
      <c r="D8" s="184"/>
      <c r="E8" s="185"/>
      <c r="F8" s="185"/>
      <c r="G8" s="185"/>
      <c r="H8" s="185"/>
      <c r="I8" s="185"/>
      <c r="J8" s="185"/>
      <c r="K8" s="185"/>
      <c r="L8" s="169"/>
    </row>
    <row r="9" s="1" customFormat="1" ht="51" spans="2:13">
      <c r="B9" s="169"/>
      <c r="C9" s="173"/>
      <c r="D9" s="186" t="s">
        <v>1328</v>
      </c>
      <c r="E9" s="175" t="s">
        <v>1329</v>
      </c>
      <c r="F9" s="175" t="s">
        <v>1330</v>
      </c>
      <c r="G9" s="175" t="s">
        <v>1331</v>
      </c>
      <c r="H9" s="175" t="s">
        <v>1332</v>
      </c>
      <c r="I9" s="175" t="s">
        <v>1333</v>
      </c>
      <c r="J9" s="175" t="s">
        <v>1334</v>
      </c>
      <c r="K9" s="176" t="s">
        <v>1335</v>
      </c>
      <c r="L9" s="169"/>
    </row>
    <row r="10" s="1" customFormat="1" ht="18" spans="2:13">
      <c r="B10" s="169"/>
      <c r="C10" s="173"/>
      <c r="D10" s="187">
        <f>假设及结论!B7</f>
        <v>267947.357144546</v>
      </c>
      <c r="E10" s="188">
        <f>全部投资现金流!$E$27</f>
        <v>0.115992191541394</v>
      </c>
      <c r="F10" s="189">
        <f>资本金现金流!$E$27</f>
        <v>0.210528646760078</v>
      </c>
      <c r="G10" s="180">
        <f>假设及结论!$E$7</f>
        <v>251649.6</v>
      </c>
      <c r="H10" s="180">
        <f>假设及结论!$E$9</f>
        <v>15851.0322322667</v>
      </c>
      <c r="I10" s="190">
        <f>假设及结论!$D$9</f>
        <v>0.704490321434076</v>
      </c>
      <c r="J10" s="191">
        <f>假设及结论!$D$7</f>
        <v>3.355328</v>
      </c>
      <c r="K10" s="192" t="s">
        <v>719</v>
      </c>
      <c r="L10" s="169"/>
    </row>
    <row r="11" s="1" customFormat="1" ht="20.4" spans="2:13">
      <c r="B11" s="169"/>
      <c r="C11" s="173"/>
      <c r="D11" s="193" t="str">
        <f>"测算总投资：当收益率为 "&amp;TEXT($E$10*100,"##0.00")&amp;"% 时，总投资为（1）"</f>
        <v>测算总投资：当收益率为 11.60% 时，总投资为（1）</v>
      </c>
      <c r="E11" s="193"/>
      <c r="F11" s="193"/>
      <c r="G11" s="193"/>
      <c r="H11" s="193"/>
      <c r="I11" s="193"/>
      <c r="J11" s="194">
        <f>D10</f>
        <v>267947.357144546</v>
      </c>
      <c r="K11" s="195"/>
      <c r="L11" s="169"/>
    </row>
    <row r="12" s="1" customFormat="1" spans="2:13">
      <c r="B12" s="169"/>
      <c r="C12" s="196"/>
      <c r="D12" s="196"/>
      <c r="E12" s="2"/>
      <c r="F12" s="2"/>
      <c r="G12" s="2"/>
      <c r="H12" s="2"/>
      <c r="I12" s="2"/>
      <c r="J12" s="2"/>
      <c r="K12" s="2"/>
      <c r="L12" s="169"/>
    </row>
    <row r="13" s="1" customFormat="1" spans="2:13">
      <c r="B13" s="169"/>
      <c r="C13" s="197" t="s">
        <v>1337</v>
      </c>
      <c r="D13" s="196" t="s">
        <v>174</v>
      </c>
      <c r="E13" s="198" t="s">
        <v>213</v>
      </c>
      <c r="F13" s="199"/>
      <c r="G13" s="199"/>
      <c r="H13" s="199"/>
      <c r="I13" s="200">
        <f>J13/假设及结论!$F$13/1000</f>
        <v>0.0442061584043883</v>
      </c>
      <c r="J13" s="201">
        <f>资金筹措!C8</f>
        <v>3315.46188032912</v>
      </c>
      <c r="K13" s="2" t="s">
        <v>1338</v>
      </c>
      <c r="L13" s="169"/>
      <c r="M13" s="1">
        <f>J18+J26+J36</f>
        <v>311627.409112714</v>
      </c>
    </row>
    <row r="14" s="1" customFormat="1" spans="2:13">
      <c r="B14" s="169"/>
      <c r="C14" s="202"/>
      <c r="D14" s="196" t="s">
        <v>175</v>
      </c>
      <c r="E14" s="198" t="s">
        <v>1339</v>
      </c>
      <c r="F14" s="199"/>
      <c r="G14" s="199"/>
      <c r="H14" s="199"/>
      <c r="I14" s="200">
        <f>J14/假设及结论!$F$13/1000</f>
        <v>0.0652843321637283</v>
      </c>
      <c r="J14" s="201">
        <f>假设及结论!B15+假设及结论!D15</f>
        <v>4896.32491227963</v>
      </c>
      <c r="K14" s="2" t="s">
        <v>1338</v>
      </c>
      <c r="L14" s="169"/>
    </row>
    <row r="15" s="1" customFormat="1" spans="2:13">
      <c r="B15" s="169"/>
      <c r="C15" s="202"/>
      <c r="D15" s="196" t="s">
        <v>176</v>
      </c>
      <c r="E15" s="198" t="s">
        <v>217</v>
      </c>
      <c r="F15" s="199"/>
      <c r="G15" s="199"/>
      <c r="H15" s="199"/>
      <c r="I15" s="200">
        <f>J15/假设及结论!$F$13/1000</f>
        <v>0.02</v>
      </c>
      <c r="J15" s="201">
        <f>财务计划!$C$25</f>
        <v>1500</v>
      </c>
      <c r="K15" s="2" t="s">
        <v>1338</v>
      </c>
      <c r="L15" s="169"/>
    </row>
    <row r="16" s="1" customFormat="1" spans="2:13">
      <c r="B16" s="169"/>
      <c r="C16" s="202"/>
      <c r="D16" s="196" t="s">
        <v>1267</v>
      </c>
      <c r="E16" s="198" t="s">
        <v>1340</v>
      </c>
      <c r="F16" s="199"/>
      <c r="G16" s="199"/>
      <c r="H16" s="199"/>
      <c r="I16" s="200">
        <f>J16/假设及结论!$F$13/1000</f>
        <v>0.248684200001577</v>
      </c>
      <c r="J16" s="201">
        <f>$K$16*资金筹措!$F$16</f>
        <v>18651.3150001182</v>
      </c>
      <c r="K16" s="203">
        <v>0.1</v>
      </c>
      <c r="L16" s="169"/>
    </row>
    <row r="17" s="1" customFormat="1" spans="2:12">
      <c r="B17" s="169"/>
      <c r="C17" s="202"/>
      <c r="D17" s="196" t="s">
        <v>1269</v>
      </c>
      <c r="E17" s="198"/>
      <c r="F17" s="199"/>
      <c r="G17" s="199"/>
      <c r="H17" s="199"/>
      <c r="I17" s="200">
        <f>J17/假设及结论!$F$13/1000</f>
        <v>0</v>
      </c>
      <c r="J17" s="201"/>
      <c r="K17" s="2"/>
      <c r="L17" s="169"/>
    </row>
    <row r="18" s="1" customFormat="1" spans="2:12">
      <c r="B18" s="169"/>
      <c r="C18" s="204"/>
      <c r="D18" s="205" t="s">
        <v>1341</v>
      </c>
      <c r="E18" s="206" t="s">
        <v>1342</v>
      </c>
      <c r="F18" s="206"/>
      <c r="G18" s="207">
        <f>J11-J18</f>
        <v>239584.255351819</v>
      </c>
      <c r="H18" s="208" t="str">
        <f>MID($C$13,6,20)&amp;" 合计（3）"</f>
        <v>利息和业主管理费 合计（3）</v>
      </c>
      <c r="I18" s="209"/>
      <c r="J18" s="210">
        <f>SUM(J13:J17)</f>
        <v>28363.101792727</v>
      </c>
      <c r="K18" s="2"/>
      <c r="L18" s="169"/>
    </row>
    <row r="19" s="1" customFormat="1" ht="12" customHeight="1" spans="2:12">
      <c r="B19" s="169"/>
      <c r="C19" s="211"/>
      <c r="D19" s="211"/>
      <c r="E19" s="212"/>
      <c r="F19" s="212"/>
      <c r="G19" s="212"/>
      <c r="H19" s="212"/>
      <c r="I19" s="212"/>
      <c r="J19" s="212"/>
      <c r="K19" s="212"/>
      <c r="L19" s="169"/>
    </row>
    <row r="20" s="1" customFormat="1" spans="2:12">
      <c r="B20" s="169"/>
      <c r="C20" s="213" t="s">
        <v>1344</v>
      </c>
      <c r="D20" s="204"/>
      <c r="E20" s="196" t="s">
        <v>1272</v>
      </c>
      <c r="F20" s="196"/>
      <c r="G20" s="196"/>
      <c r="H20" s="196"/>
      <c r="I20" s="214" t="s">
        <v>1345</v>
      </c>
      <c r="J20" s="204"/>
      <c r="K20" s="204" t="s">
        <v>1346</v>
      </c>
      <c r="L20" s="169"/>
    </row>
    <row r="21" s="1" customFormat="1" spans="2:12">
      <c r="B21" s="169"/>
      <c r="C21" s="213"/>
      <c r="D21" s="196" t="s">
        <v>174</v>
      </c>
      <c r="E21" s="198" t="s">
        <v>1347</v>
      </c>
      <c r="F21" s="199"/>
      <c r="G21" s="199"/>
      <c r="H21" s="199"/>
      <c r="I21" s="200">
        <f>J21/假设及结论!$F$13/1000</f>
        <v>0.624</v>
      </c>
      <c r="J21" s="201">
        <v>46800</v>
      </c>
      <c r="K21" s="2" t="s">
        <v>1348</v>
      </c>
      <c r="L21" s="169"/>
    </row>
    <row r="22" s="1" customFormat="1" spans="2:12">
      <c r="B22" s="169"/>
      <c r="C22" s="213"/>
      <c r="D22" s="196" t="s">
        <v>175</v>
      </c>
      <c r="E22" s="198" t="s">
        <v>1349</v>
      </c>
      <c r="F22" s="199"/>
      <c r="G22" s="199"/>
      <c r="H22" s="199"/>
      <c r="I22" s="200">
        <f>J22/假设及结论!$F$13/1000</f>
        <v>0</v>
      </c>
      <c r="J22" s="201"/>
      <c r="K22" s="2" t="s">
        <v>1350</v>
      </c>
      <c r="L22" s="169"/>
    </row>
    <row r="23" s="1" customFormat="1" ht="56" customHeight="1" spans="2:12">
      <c r="B23" s="169"/>
      <c r="C23" s="213"/>
      <c r="D23" s="196" t="s">
        <v>176</v>
      </c>
      <c r="E23" s="215" t="s">
        <v>1351</v>
      </c>
      <c r="F23" s="216"/>
      <c r="G23" s="216"/>
      <c r="H23" s="216"/>
      <c r="I23" s="200">
        <f>J23/假设及结论!$F$13/1000</f>
        <v>0</v>
      </c>
      <c r="J23" s="201"/>
      <c r="K23" s="217" t="s">
        <v>1352</v>
      </c>
      <c r="L23" s="169"/>
    </row>
    <row r="24" s="1" customFormat="1" spans="2:12">
      <c r="B24" s="169"/>
      <c r="C24" s="213"/>
      <c r="D24" s="196" t="s">
        <v>1267</v>
      </c>
      <c r="E24" s="198"/>
      <c r="F24" s="199"/>
      <c r="G24" s="199"/>
      <c r="H24" s="199"/>
      <c r="I24" s="200">
        <f>J24/假设及结论!$F$13/1000</f>
        <v>0</v>
      </c>
      <c r="J24" s="201"/>
      <c r="K24" s="2"/>
      <c r="L24" s="169"/>
    </row>
    <row r="25" s="1" customFormat="1" ht="21" customHeight="1" spans="2:12">
      <c r="B25" s="169"/>
      <c r="C25" s="213"/>
      <c r="D25" s="196" t="s">
        <v>1269</v>
      </c>
      <c r="E25" s="198"/>
      <c r="F25" s="199"/>
      <c r="G25" s="199"/>
      <c r="H25" s="199"/>
      <c r="I25" s="200">
        <f>J25/假设及结论!$F$13/1000</f>
        <v>0</v>
      </c>
      <c r="J25" s="201"/>
      <c r="K25" s="2"/>
      <c r="L25" s="169"/>
    </row>
    <row r="26" s="1" customFormat="1" spans="2:12">
      <c r="B26" s="169"/>
      <c r="C26" s="213"/>
      <c r="D26" s="205" t="s">
        <v>1341</v>
      </c>
      <c r="E26" s="206" t="s">
        <v>1353</v>
      </c>
      <c r="F26" s="206"/>
      <c r="G26" s="207">
        <f>G18-J26</f>
        <v>192784.255351819</v>
      </c>
      <c r="H26" s="208" t="str">
        <f>MID($C$20,2,20)&amp;"  合计（2）"</f>
        <v>
前期阶段  合计（2）</v>
      </c>
      <c r="I26" s="209"/>
      <c r="J26" s="210">
        <f>SUM(J21:J25)</f>
        <v>46800</v>
      </c>
      <c r="K26" s="204"/>
      <c r="L26" s="169"/>
    </row>
    <row r="27" s="1" customFormat="1" ht="10" customHeight="1" spans="2:12">
      <c r="B27" s="169"/>
      <c r="C27" s="211"/>
      <c r="D27" s="211"/>
      <c r="E27" s="212"/>
      <c r="F27" s="212"/>
      <c r="G27" s="212"/>
      <c r="H27" s="212"/>
      <c r="I27" s="212"/>
      <c r="J27" s="212"/>
      <c r="K27" s="212"/>
      <c r="L27" s="169"/>
    </row>
    <row r="28" s="1" customFormat="1" spans="2:12">
      <c r="B28" s="169"/>
      <c r="C28" s="173" t="s">
        <v>1355</v>
      </c>
      <c r="D28" s="204" t="s">
        <v>174</v>
      </c>
      <c r="E28" s="198" t="s">
        <v>1356</v>
      </c>
      <c r="F28" s="199"/>
      <c r="G28" s="199"/>
      <c r="H28" s="199"/>
      <c r="I28" s="200">
        <f>J28/假设及结论!$F$13/1000</f>
        <v>1.7</v>
      </c>
      <c r="J28" s="201">
        <f>'11院EPC价'!G11</f>
        <v>127500</v>
      </c>
      <c r="K28" s="218" t="s">
        <v>1357</v>
      </c>
      <c r="L28" s="169"/>
    </row>
    <row r="29" s="1" customFormat="1" spans="2:12">
      <c r="B29" s="169"/>
      <c r="C29" s="196"/>
      <c r="D29" s="196" t="s">
        <v>175</v>
      </c>
      <c r="E29" s="198" t="s">
        <v>1358</v>
      </c>
      <c r="F29" s="199"/>
      <c r="G29" s="199"/>
      <c r="H29" s="199"/>
      <c r="I29" s="200">
        <f>J29/假设及结论!$F$13/1000</f>
        <v>0.513066666666667</v>
      </c>
      <c r="J29" s="201">
        <f>'11院EPC价'!G25</f>
        <v>38480</v>
      </c>
      <c r="K29" s="2" t="s">
        <v>1357</v>
      </c>
      <c r="L29" s="169"/>
    </row>
    <row r="30" s="1" customFormat="1" spans="2:12">
      <c r="B30" s="169"/>
      <c r="C30" s="196"/>
      <c r="D30" s="196" t="s">
        <v>176</v>
      </c>
      <c r="E30" s="198" t="s">
        <v>1359</v>
      </c>
      <c r="F30" s="199"/>
      <c r="G30" s="199"/>
      <c r="H30" s="199"/>
      <c r="I30" s="200">
        <f>J30/假设及结论!$F$13/1000</f>
        <v>0.333333333333333</v>
      </c>
      <c r="J30" s="201">
        <v>25000</v>
      </c>
      <c r="K30" s="219" t="str">
        <f>"11院的"&amp;TEXT(J30/'11院EPC价'!G32*100,"##.##")&amp;"%"</f>
        <v>11院的84.1%</v>
      </c>
      <c r="L30" s="169"/>
    </row>
    <row r="31" s="1" customFormat="1" spans="2:12">
      <c r="B31" s="169"/>
      <c r="C31" s="196"/>
      <c r="D31" s="196" t="s">
        <v>1267</v>
      </c>
      <c r="E31" s="215" t="s">
        <v>1361</v>
      </c>
      <c r="F31" s="216"/>
      <c r="G31" s="216"/>
      <c r="H31" s="216"/>
      <c r="I31" s="200">
        <f>J31/假设及结论!$F$13/1000</f>
        <v>0.1184</v>
      </c>
      <c r="J31" s="201">
        <v>8880</v>
      </c>
      <c r="K31" s="219" t="str">
        <f>"11院的"&amp;TEXT(J31/('11院EPC价'!G51-SUM('11院EPC价'!G41:G44))*100,"##.##")&amp;"%"</f>
        <v>11院的73.69%</v>
      </c>
      <c r="L31" s="169"/>
    </row>
    <row r="32" s="1" customFormat="1" spans="2:12">
      <c r="B32" s="169"/>
      <c r="C32" s="196"/>
      <c r="D32" s="196" t="s">
        <v>1269</v>
      </c>
      <c r="E32" s="198" t="s">
        <v>1363</v>
      </c>
      <c r="F32" s="199"/>
      <c r="G32" s="199"/>
      <c r="H32" s="199"/>
      <c r="I32" s="200">
        <f>J32/假设及结论!$F$13/1000</f>
        <v>0.149333333333333</v>
      </c>
      <c r="J32" s="201">
        <v>11200</v>
      </c>
      <c r="K32" s="2" t="s">
        <v>1364</v>
      </c>
      <c r="L32" s="169"/>
    </row>
    <row r="33" s="1" customFormat="1" spans="2:12">
      <c r="B33" s="169"/>
      <c r="C33" s="196"/>
      <c r="D33" s="196" t="s">
        <v>1286</v>
      </c>
      <c r="E33" s="220" t="s">
        <v>400</v>
      </c>
      <c r="F33" s="221"/>
      <c r="G33" s="221"/>
      <c r="H33" s="221"/>
      <c r="I33" s="222">
        <f>J33/假设及结论!$F$13/1000</f>
        <v>0.133333333333333</v>
      </c>
      <c r="J33" s="201">
        <v>10000</v>
      </c>
      <c r="K33" s="219" t="str">
        <f>"11院的"&amp;TEXT(J33/'11院EPC价'!G53*100,"##.##")&amp;"%"</f>
        <v>11院的40.24%</v>
      </c>
      <c r="L33" s="169"/>
    </row>
    <row r="34" s="1" customFormat="1" spans="2:12">
      <c r="B34" s="169"/>
      <c r="C34" s="196"/>
      <c r="D34" s="196" t="s">
        <v>1288</v>
      </c>
      <c r="E34" s="220"/>
      <c r="F34" s="221"/>
      <c r="G34" s="221"/>
      <c r="H34" s="221"/>
      <c r="I34" s="2"/>
      <c r="J34" s="2">
        <v>0</v>
      </c>
      <c r="K34" s="2"/>
      <c r="L34" s="169"/>
    </row>
    <row r="35" s="1" customFormat="1" spans="2:12">
      <c r="B35" s="169"/>
      <c r="C35" s="196"/>
      <c r="D35" s="196" t="s">
        <v>703</v>
      </c>
      <c r="E35" s="198" t="s">
        <v>1366</v>
      </c>
      <c r="F35" s="199"/>
      <c r="G35" s="199"/>
      <c r="H35" s="199"/>
      <c r="I35" s="200">
        <f>J35/假设及结论!$F$13/1000</f>
        <v>0.205390764266494</v>
      </c>
      <c r="J35" s="201">
        <f>假设及结论!F9</f>
        <v>15404.3073199871</v>
      </c>
      <c r="K35" s="2" t="s">
        <v>1350</v>
      </c>
      <c r="L35" s="169"/>
    </row>
    <row r="36" s="1" customFormat="1" spans="2:12">
      <c r="B36" s="169"/>
      <c r="C36" s="196"/>
      <c r="D36" s="205" t="s">
        <v>1341</v>
      </c>
      <c r="E36" s="223" t="s">
        <v>1367</v>
      </c>
      <c r="F36" s="223"/>
      <c r="G36" s="224">
        <f>G26-J36</f>
        <v>-43680.0519681677</v>
      </c>
      <c r="H36" s="225" t="str">
        <f>MID($C$28,2,20)&amp;" 合计（4）"</f>
        <v>
工程 EPC 总包 合计（4）</v>
      </c>
      <c r="I36" s="226"/>
      <c r="J36" s="227">
        <f>SUM(J28:J35)</f>
        <v>236464.307319987</v>
      </c>
      <c r="K36" s="196"/>
      <c r="L36" s="169"/>
    </row>
    <row r="37" s="169" customFormat="1" ht="5" customHeight="1" spans="2:12">
      <c r="C37" s="170"/>
      <c r="D37" s="170"/>
    </row>
    <row r="38" s="1" customFormat="1" spans="2:12">
      <c r="B38" s="169"/>
      <c r="C38" s="34"/>
      <c r="D38" s="34"/>
      <c r="E38" s="1"/>
      <c r="F38" s="1"/>
      <c r="G38" s="1"/>
      <c r="H38" s="1"/>
      <c r="I38" s="1"/>
      <c r="J38" s="1"/>
      <c r="K38" s="1"/>
      <c r="L38" s="169"/>
    </row>
    <row r="39" s="1" customFormat="1" spans="2:12">
      <c r="B39" s="169"/>
      <c r="C39" s="34"/>
      <c r="D39" s="34"/>
      <c r="L39" s="169"/>
    </row>
    <row r="40" s="1" customFormat="1" spans="2:12">
      <c r="B40" s="169"/>
      <c r="C40" s="34"/>
      <c r="D40" s="34"/>
      <c r="L40" s="169"/>
    </row>
  </sheetData>
  <mergeCells count="35">
    <mergeCell ref="C5:K5"/>
    <mergeCell ref="D8:K8"/>
    <mergeCell ref="D11:I11"/>
    <mergeCell ref="C12:K12"/>
    <mergeCell ref="E13:H13"/>
    <mergeCell ref="E14:H14"/>
    <mergeCell ref="E15:H15"/>
    <mergeCell ref="E16:H16"/>
    <mergeCell ref="E17:H17"/>
    <mergeCell ref="E18:F18"/>
    <mergeCell ref="H18:I18"/>
    <mergeCell ref="C19:K19"/>
    <mergeCell ref="E20:H20"/>
    <mergeCell ref="E21:H21"/>
    <mergeCell ref="E22:H22"/>
    <mergeCell ref="E23:H23"/>
    <mergeCell ref="E24:H24"/>
    <mergeCell ref="E25:H25"/>
    <mergeCell ref="E26:F26"/>
    <mergeCell ref="H26:I26"/>
    <mergeCell ref="C27:K27"/>
    <mergeCell ref="E28:H28"/>
    <mergeCell ref="E29:H29"/>
    <mergeCell ref="E30:H30"/>
    <mergeCell ref="E31:H31"/>
    <mergeCell ref="E32:H32"/>
    <mergeCell ref="E33:H33"/>
    <mergeCell ref="E34:H34"/>
    <mergeCell ref="E35:H35"/>
    <mergeCell ref="E36:F36"/>
    <mergeCell ref="H36:I36"/>
    <mergeCell ref="C6:C11"/>
    <mergeCell ref="C13:C18"/>
    <mergeCell ref="C20:C26"/>
    <mergeCell ref="C28:C36"/>
  </mergeCells>
  <pageMargins left="0.75" right="0.75" top="1" bottom="1" header="0.5" footer="0.5"/>
  <pageSetup paperSize="9"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74"/>
  <sheetViews>
    <sheetView showZeros="0" view="pageBreakPreview" zoomScale="92" zoomScaleNormal="75" workbookViewId="0">
      <pane xSplit="3" ySplit="5" topLeftCell="D6" activePane="bottomRight" state="frozen"/>
      <selection/>
      <selection pane="topRight"/>
      <selection pane="bottomLeft"/>
      <selection pane="bottomRight" activeCell="E9" sqref="E9"/>
    </sheetView>
  </sheetViews>
  <sheetFormatPr defaultColWidth="8.83035714285714" defaultRowHeight="17.6"/>
  <cols>
    <col min="1" max="1" width="20.5089285714286" style="25" customWidth="1"/>
    <col min="2" max="2" width="32.7767857142857" style="25" customWidth="1"/>
    <col min="3" max="3" width="9.88392857142857" style="26" customWidth="1"/>
    <col min="4" max="4" width="9.88392857142857" style="52" customWidth="1"/>
    <col min="5" max="5" width="14.0089285714286" style="52" customWidth="1"/>
    <col min="6" max="8" width="9.88392857142857" style="52" customWidth="1"/>
    <col min="9" max="23" width="9.88392857142857" style="26" customWidth="1"/>
    <col min="24" max="31" width="9.88392857142857" style="25" customWidth="1"/>
    <col min="32" max="16384" width="8.83035714285714" style="25"/>
  </cols>
  <sheetData>
    <row r="1" spans="1:30">
      <c r="A1" s="28"/>
      <c r="B1" s="136"/>
      <c r="C1" s="36"/>
      <c r="D1" s="137"/>
      <c r="E1" s="138"/>
      <c r="F1" s="137"/>
      <c r="G1" s="137"/>
      <c r="H1" s="137"/>
      <c r="I1" s="36"/>
      <c r="J1" s="36"/>
      <c r="K1" s="36"/>
      <c r="L1" s="36"/>
      <c r="M1" s="36"/>
      <c r="N1" s="36"/>
      <c r="O1" s="36"/>
      <c r="P1" s="36"/>
      <c r="Q1" s="36"/>
      <c r="R1" s="36"/>
      <c r="S1" s="36"/>
      <c r="T1" s="36"/>
      <c r="U1" s="36"/>
      <c r="V1" s="36"/>
      <c r="W1" s="36"/>
      <c r="X1" s="51"/>
    </row>
    <row r="2" ht="23.25" customHeight="1" spans="1:30">
      <c r="A2" s="139" t="s">
        <v>1372</v>
      </c>
      <c r="B2" s="139"/>
      <c r="C2" s="139"/>
      <c r="D2" s="139"/>
      <c r="E2" s="139"/>
      <c r="F2" s="139"/>
      <c r="G2" s="139"/>
      <c r="H2" s="139"/>
      <c r="I2" s="139"/>
      <c r="J2" s="139"/>
      <c r="K2" s="139"/>
      <c r="L2" s="139"/>
      <c r="M2" s="139"/>
      <c r="N2" s="139"/>
      <c r="O2" s="139"/>
      <c r="P2" s="139"/>
      <c r="Q2" s="139"/>
      <c r="R2" s="139"/>
      <c r="S2" s="139"/>
      <c r="T2" s="139"/>
      <c r="U2" s="139"/>
      <c r="V2" s="139"/>
      <c r="W2" s="139"/>
      <c r="X2" s="139"/>
    </row>
    <row r="3" ht="18" spans="1:30">
      <c r="A3" s="35"/>
      <c r="B3" s="35"/>
      <c r="C3" s="36"/>
      <c r="D3" s="137"/>
      <c r="E3" s="140"/>
      <c r="F3" s="140"/>
      <c r="G3" s="140"/>
      <c r="H3" s="140"/>
      <c r="I3" s="140"/>
      <c r="J3" s="140"/>
      <c r="K3" s="140"/>
      <c r="L3" s="140"/>
      <c r="M3" s="140"/>
      <c r="N3" s="140"/>
      <c r="O3" s="140"/>
      <c r="P3" s="140"/>
      <c r="Q3" s="140"/>
      <c r="R3" s="140"/>
      <c r="S3" s="141"/>
      <c r="T3" s="141"/>
      <c r="U3" s="141"/>
      <c r="V3" s="141"/>
      <c r="W3" s="141"/>
      <c r="X3" s="142" t="s">
        <v>723</v>
      </c>
    </row>
    <row r="4" ht="15.75" customHeight="1" spans="1:30">
      <c r="A4" s="38" t="s">
        <v>724</v>
      </c>
      <c r="B4" s="100" t="s">
        <v>1373</v>
      </c>
      <c r="C4" s="143" t="s">
        <v>243</v>
      </c>
      <c r="D4" s="144" t="s">
        <v>726</v>
      </c>
      <c r="E4" s="144"/>
      <c r="F4" s="144"/>
      <c r="G4" s="144"/>
      <c r="H4" s="144"/>
      <c r="I4" s="144"/>
      <c r="J4" s="144"/>
      <c r="K4" s="144"/>
      <c r="L4" s="144"/>
      <c r="M4" s="144"/>
      <c r="N4" s="144"/>
      <c r="O4" s="144"/>
      <c r="P4" s="144"/>
      <c r="Q4" s="144"/>
      <c r="R4" s="144"/>
      <c r="S4" s="144"/>
      <c r="T4" s="144"/>
      <c r="U4" s="144"/>
      <c r="V4" s="144"/>
      <c r="W4" s="144"/>
      <c r="X4" s="144"/>
      <c r="Y4" s="144"/>
      <c r="Z4" s="144"/>
      <c r="AA4" s="144"/>
      <c r="AB4" s="144"/>
      <c r="AC4" s="144"/>
      <c r="AD4" s="144"/>
    </row>
    <row r="5" spans="1:30">
      <c r="A5" s="43" t="s">
        <v>727</v>
      </c>
      <c r="B5" s="145"/>
      <c r="C5" s="146"/>
      <c r="D5" s="46">
        <v>1</v>
      </c>
      <c r="E5" s="46">
        <v>2</v>
      </c>
      <c r="F5" s="46">
        <v>3</v>
      </c>
      <c r="G5" s="46">
        <v>4</v>
      </c>
      <c r="H5" s="46">
        <v>5</v>
      </c>
      <c r="I5" s="40">
        <v>6</v>
      </c>
      <c r="J5" s="40">
        <v>7</v>
      </c>
      <c r="K5" s="40">
        <v>8</v>
      </c>
      <c r="L5" s="40">
        <v>9</v>
      </c>
      <c r="M5" s="40">
        <v>10</v>
      </c>
      <c r="N5" s="40">
        <v>11</v>
      </c>
      <c r="O5" s="40">
        <v>12</v>
      </c>
      <c r="P5" s="40">
        <v>13</v>
      </c>
      <c r="Q5" s="40">
        <v>14</v>
      </c>
      <c r="R5" s="40">
        <v>15</v>
      </c>
      <c r="S5" s="40">
        <v>16</v>
      </c>
      <c r="T5" s="40">
        <v>17</v>
      </c>
      <c r="U5" s="40">
        <v>18</v>
      </c>
      <c r="V5" s="40">
        <v>19</v>
      </c>
      <c r="W5" s="40">
        <v>20</v>
      </c>
      <c r="X5" s="40">
        <v>21</v>
      </c>
      <c r="Y5" s="40">
        <v>22</v>
      </c>
      <c r="Z5" s="40">
        <v>23</v>
      </c>
      <c r="AA5" s="40">
        <v>24</v>
      </c>
      <c r="AB5" s="40">
        <v>25</v>
      </c>
      <c r="AC5" s="40">
        <v>26</v>
      </c>
      <c r="AD5" s="40">
        <v>27</v>
      </c>
    </row>
    <row r="6" ht="36" spans="1:30">
      <c r="A6" s="42">
        <v>1</v>
      </c>
      <c r="B6" s="147" t="s">
        <v>1374</v>
      </c>
      <c r="C6" s="148">
        <f>SUM(E6:AD6)</f>
        <v>940024.386</v>
      </c>
      <c r="D6" s="46"/>
      <c r="E6" s="46">
        <f>E7</f>
        <v>39737.25</v>
      </c>
      <c r="F6" s="46">
        <f t="shared" ref="F6:AD6" si="0">F7</f>
        <v>39339.8775</v>
      </c>
      <c r="G6" s="46">
        <f t="shared" si="0"/>
        <v>39180.9285</v>
      </c>
      <c r="H6" s="46">
        <f t="shared" si="0"/>
        <v>39021.9795</v>
      </c>
      <c r="I6" s="46">
        <f t="shared" si="0"/>
        <v>38863.0305</v>
      </c>
      <c r="J6" s="46">
        <f t="shared" si="0"/>
        <v>38704.0815</v>
      </c>
      <c r="K6" s="46">
        <f t="shared" si="0"/>
        <v>38545.1325</v>
      </c>
      <c r="L6" s="46">
        <f t="shared" si="0"/>
        <v>38386.1835</v>
      </c>
      <c r="M6" s="46">
        <f t="shared" si="0"/>
        <v>38227.2345</v>
      </c>
      <c r="N6" s="46">
        <f t="shared" si="0"/>
        <v>38068.2855</v>
      </c>
      <c r="O6" s="46">
        <f t="shared" si="0"/>
        <v>37909.3365</v>
      </c>
      <c r="P6" s="46">
        <f t="shared" si="0"/>
        <v>37750.3875</v>
      </c>
      <c r="Q6" s="46">
        <f t="shared" si="0"/>
        <v>37591.4385</v>
      </c>
      <c r="R6" s="46">
        <f t="shared" si="0"/>
        <v>37432.4895</v>
      </c>
      <c r="S6" s="46">
        <f t="shared" si="0"/>
        <v>37273.5405</v>
      </c>
      <c r="T6" s="46">
        <f t="shared" si="0"/>
        <v>37114.5915</v>
      </c>
      <c r="U6" s="46">
        <f t="shared" si="0"/>
        <v>36955.6425</v>
      </c>
      <c r="V6" s="46">
        <f t="shared" si="0"/>
        <v>36796.6935</v>
      </c>
      <c r="W6" s="46">
        <f t="shared" si="0"/>
        <v>36637.7445</v>
      </c>
      <c r="X6" s="46">
        <f t="shared" si="0"/>
        <v>36478.7955</v>
      </c>
      <c r="Y6" s="46">
        <f t="shared" si="0"/>
        <v>36319.8465</v>
      </c>
      <c r="Z6" s="46">
        <f t="shared" si="0"/>
        <v>36160.8975</v>
      </c>
      <c r="AA6" s="46">
        <f t="shared" si="0"/>
        <v>36001.9485</v>
      </c>
      <c r="AB6" s="46">
        <f t="shared" si="0"/>
        <v>35842.9995</v>
      </c>
      <c r="AC6" s="46">
        <f t="shared" si="0"/>
        <v>35684.0505</v>
      </c>
      <c r="AD6" s="46">
        <f t="shared" si="0"/>
        <v>0</v>
      </c>
    </row>
    <row r="7" spans="1:30">
      <c r="A7" s="42">
        <v>1.1</v>
      </c>
      <c r="B7" s="61" t="s">
        <v>1375</v>
      </c>
      <c r="C7" s="148">
        <f>SUM(E7:AD7)</f>
        <v>940024.386</v>
      </c>
      <c r="D7" s="46">
        <f>IF(D5&lt;=ConstructPeriod,0,IF(SubsidyLossMonths&gt;=(D5-ConstructPeriod)*12,BasicPrice/(1+假设及结论!$H$30)*D14,IF(D5=OperationPeriod+ConstructPeriod,D9*D14+(D9-BasicPrice/(1+假设及结论!$H$30))*D14*ROUNDDOWN(SubsidyLossMonths/12,0),D9*D14)))</f>
        <v>0</v>
      </c>
      <c r="E7" s="46">
        <f t="shared" ref="E7:AD7" si="1">E8+E12+E16+E20+E23</f>
        <v>39737.25</v>
      </c>
      <c r="F7" s="46">
        <f t="shared" si="1"/>
        <v>39339.8775</v>
      </c>
      <c r="G7" s="46">
        <f t="shared" si="1"/>
        <v>39180.9285</v>
      </c>
      <c r="H7" s="46">
        <f t="shared" si="1"/>
        <v>39021.9795</v>
      </c>
      <c r="I7" s="46">
        <f t="shared" si="1"/>
        <v>38863.0305</v>
      </c>
      <c r="J7" s="46">
        <f t="shared" si="1"/>
        <v>38704.0815</v>
      </c>
      <c r="K7" s="46">
        <f t="shared" si="1"/>
        <v>38545.1325</v>
      </c>
      <c r="L7" s="46">
        <f t="shared" si="1"/>
        <v>38386.1835</v>
      </c>
      <c r="M7" s="46">
        <f t="shared" si="1"/>
        <v>38227.2345</v>
      </c>
      <c r="N7" s="46">
        <f t="shared" si="1"/>
        <v>38068.2855</v>
      </c>
      <c r="O7" s="46">
        <f t="shared" si="1"/>
        <v>37909.3365</v>
      </c>
      <c r="P7" s="46">
        <f t="shared" si="1"/>
        <v>37750.3875</v>
      </c>
      <c r="Q7" s="46">
        <f t="shared" si="1"/>
        <v>37591.4385</v>
      </c>
      <c r="R7" s="46">
        <f t="shared" si="1"/>
        <v>37432.4895</v>
      </c>
      <c r="S7" s="46">
        <f t="shared" si="1"/>
        <v>37273.5405</v>
      </c>
      <c r="T7" s="46">
        <f t="shared" si="1"/>
        <v>37114.5915</v>
      </c>
      <c r="U7" s="46">
        <f t="shared" si="1"/>
        <v>36955.6425</v>
      </c>
      <c r="V7" s="46">
        <f t="shared" si="1"/>
        <v>36796.6935</v>
      </c>
      <c r="W7" s="46">
        <f t="shared" si="1"/>
        <v>36637.7445</v>
      </c>
      <c r="X7" s="46">
        <f t="shared" si="1"/>
        <v>36478.7955</v>
      </c>
      <c r="Y7" s="46">
        <f t="shared" si="1"/>
        <v>36319.8465</v>
      </c>
      <c r="Z7" s="46">
        <f t="shared" si="1"/>
        <v>36160.8975</v>
      </c>
      <c r="AA7" s="46">
        <f t="shared" si="1"/>
        <v>36001.9485</v>
      </c>
      <c r="AB7" s="46">
        <f t="shared" si="1"/>
        <v>35842.9995</v>
      </c>
      <c r="AC7" s="46">
        <f t="shared" si="1"/>
        <v>35684.0505</v>
      </c>
      <c r="AD7" s="46">
        <f t="shared" si="1"/>
        <v>0</v>
      </c>
    </row>
    <row r="8" customFormat="1" spans="1:30">
      <c r="A8" s="42" t="s">
        <v>179</v>
      </c>
      <c r="B8" s="149" t="s">
        <v>1376</v>
      </c>
      <c r="C8" s="150"/>
      <c r="D8" s="151"/>
      <c r="E8" s="151">
        <f>IF(E5-1&lt;假设及结论!$F$15,0,IF(E5-1-假设及结论!$F$15&lt;=假设及结论!$G$15,E9*E11,0))</f>
        <v>37394.4375</v>
      </c>
      <c r="F8" s="151">
        <f>IF(F5-1&lt;假设及结论!$F$15,0,IF(F5-1-假设及结论!$F$15&lt;=假设及结论!$G$15,F9*F11,0))</f>
        <v>37020.493125</v>
      </c>
      <c r="G8" s="151">
        <f>IF(G5-1&lt;假设及结论!$F$15,0,IF(G5-1-假设及结论!$F$15&lt;=假设及结论!$G$15,G9*G11,0))</f>
        <v>36870.915375</v>
      </c>
      <c r="H8" s="151">
        <f>IF(H5-1&lt;假设及结论!$F$15,0,IF(H5-1-假设及结论!$F$15&lt;=假设及结论!$G$15,H9*H11,0))</f>
        <v>36721.337625</v>
      </c>
      <c r="I8" s="151">
        <f>IF(I5-1&lt;假设及结论!$F$15,0,IF(I5-1-假设及结论!$F$15&lt;=假设及结论!$G$15,I9*I11,0))</f>
        <v>36571.759875</v>
      </c>
      <c r="J8" s="151">
        <f>IF(J5-1&lt;假设及结论!$F$15,0,IF(J5-1-假设及结论!$F$15&lt;=假设及结论!$G$15,J9*J11,0))</f>
        <v>36422.182125</v>
      </c>
      <c r="K8" s="151">
        <f>IF(K5-1&lt;假设及结论!$F$15,0,IF(K5-1-假设及结论!$F$15&lt;=假设及结论!$G$15,K9*K11,0))</f>
        <v>36272.604375</v>
      </c>
      <c r="L8" s="151">
        <f>IF(L5-1&lt;假设及结论!$F$15,0,IF(L5-1-假设及结论!$F$15&lt;=假设及结论!$G$15,L9*L11,0))</f>
        <v>36123.026625</v>
      </c>
      <c r="M8" s="151">
        <f>IF(M5-1&lt;假设及结论!$F$15,0,IF(M5-1-假设及结论!$F$15&lt;=假设及结论!$G$15,M9*M11,0))</f>
        <v>35973.448875</v>
      </c>
      <c r="N8" s="151">
        <f>IF(N5-1&lt;假设及结论!$F$15,0,IF(N5-1-假设及结论!$F$15&lt;=假设及结论!$G$15,N9*N11,0))</f>
        <v>35823.871125</v>
      </c>
      <c r="O8" s="151">
        <f>IF(O5-1&lt;假设及结论!$F$15,0,IF(O5-1-假设及结论!$F$15&lt;=假设及结论!$G$15,O9*O11,0))</f>
        <v>35674.293375</v>
      </c>
      <c r="P8" s="151">
        <f>IF(P5-1&lt;假设及结论!$F$15,0,IF(P5-1-假设及结论!$F$15&lt;=假设及结论!$G$15,P9*P11,0))</f>
        <v>35524.715625</v>
      </c>
      <c r="Q8" s="151">
        <f>IF(Q5-1&lt;假设及结论!$F$15,0,IF(Q5-1-假设及结论!$F$15&lt;=假设及结论!$G$15,Q9*Q11,0))</f>
        <v>35375.137875</v>
      </c>
      <c r="R8" s="151">
        <f>IF(R5-1&lt;假设及结论!$F$15,0,IF(R5-1-假设及结论!$F$15&lt;=假设及结论!$G$15,R9*R11,0))</f>
        <v>35225.560125</v>
      </c>
      <c r="S8" s="151">
        <f>IF(S5-1&lt;假设及结论!$F$15,0,IF(S5-1-假设及结论!$F$15&lt;=假设及结论!$G$15,S9*S11,0))</f>
        <v>35075.982375</v>
      </c>
      <c r="T8" s="151">
        <f>IF(T5-1&lt;假设及结论!$F$15,0,IF(T5-1-假设及结论!$F$15&lt;=假设及结论!$G$15,T9*T11,0))</f>
        <v>34926.404625</v>
      </c>
      <c r="U8" s="151">
        <f>IF(U5-1&lt;假设及结论!$F$15,0,IF(U5-1-假设及结论!$F$15&lt;=假设及结论!$G$15,U9*U11,0))</f>
        <v>34776.826875</v>
      </c>
      <c r="V8" s="151">
        <f>IF(V5-1&lt;假设及结论!$F$15,0,IF(V5-1-假设及结论!$F$15&lt;=假设及结论!$G$15,V9*V11,0))</f>
        <v>34627.249125</v>
      </c>
      <c r="W8" s="151">
        <f>IF(W5-1&lt;假设及结论!$F$15,0,IF(W5-1-假设及结论!$F$15&lt;=假设及结论!$G$15,W9*W11,0))</f>
        <v>34477.671375</v>
      </c>
      <c r="X8" s="151">
        <f>IF(X5-1&lt;假设及结论!$F$15,0,IF(X5-1-假设及结论!$F$15&lt;=假设及结论!$G$15,X9*X11,0))</f>
        <v>34328.093625</v>
      </c>
      <c r="Y8" s="151">
        <f>IF(Y5-1&lt;假设及结论!$F$15,0,IF(Y5-1-假设及结论!$F$15&lt;=假设及结论!$G$15,Y9*Y11,0))</f>
        <v>34178.515875</v>
      </c>
      <c r="Z8" s="151">
        <f>IF(Z5-1&lt;假设及结论!$F$15,0,IF(Z5-1-假设及结论!$F$15&lt;=假设及结论!$G$15,Z9*Z11,0))</f>
        <v>34028.938125</v>
      </c>
      <c r="AA8" s="151">
        <f>IF(AA5-1&lt;假设及结论!$F$15,0,IF(AA5-1-假设及结论!$F$15&lt;=假设及结论!$G$15,AA9*AA11,0))</f>
        <v>33879.360375</v>
      </c>
      <c r="AB8" s="151">
        <f>IF(AB5-1&lt;假设及结论!$F$15,0,IF(AB5-1-假设及结论!$F$15&lt;=假设及结论!$G$15,AB9*AB11,0))</f>
        <v>33729.782625</v>
      </c>
      <c r="AC8" s="151">
        <f>IF(AC5-1&lt;假设及结论!$F$15,0,IF(AC5-1-假设及结论!$F$15&lt;=假设及结论!$G$15,AC9*AC11,0))</f>
        <v>33580.204875</v>
      </c>
      <c r="AD8" s="151">
        <f>IF(AD5-1&lt;假设及结论!$F$15,0,IF(AD5-1-假设及结论!$F$15&lt;=假设及结论!$G$15,AD9*AD11,0))</f>
        <v>0</v>
      </c>
    </row>
    <row r="9" s="56" customFormat="1" ht="18" spans="1:30">
      <c r="A9" s="47"/>
      <c r="B9" s="152" t="s">
        <v>1377</v>
      </c>
      <c r="C9" s="153"/>
      <c r="D9" s="154"/>
      <c r="E9" s="155">
        <f>IF(E10=0,0,IF(假设及结论!$Q$7="NO",IF(E5-1&gt;假设及结论!$G$15,假设及结论!$J$15,假设及结论!$L$15),IF(E5-1&gt;假设及结论!$G$15,假设及结论!$J$15,假设及结论!$L$15)/(1+假设及结论!$H$30+假设及结论!$K$30)))</f>
        <v>0.35</v>
      </c>
      <c r="F9" s="155">
        <f>IF(F10=0,0,IF(假设及结论!$Q$7="NO",IF(F5-1&gt;假设及结论!$G$15,假设及结论!$J$15,假设及结论!$L$15),IF(F5-1&gt;假设及结论!$G$15,假设及结论!$J$15,假设及结论!$L$15)/(1+假设及结论!$H$30+假设及结论!$K$30)))</f>
        <v>0.35</v>
      </c>
      <c r="G9" s="155">
        <f>IF(G10=0,0,IF(假设及结论!$Q$7="NO",IF(G5-1&gt;假设及结论!$G$15,假设及结论!$J$15,假设及结论!$L$15),IF(G5-1&gt;假设及结论!$G$15,假设及结论!$J$15,假设及结论!$L$15)/(1+假设及结论!$H$30+假设及结论!$K$30)))</f>
        <v>0.35</v>
      </c>
      <c r="H9" s="155">
        <f>IF(H10=0,0,IF(假设及结论!$Q$7="NO",IF(H5-1&gt;假设及结论!$G$15,假设及结论!$J$15,假设及结论!$L$15),IF(H5-1&gt;假设及结论!$G$15,假设及结论!$J$15,假设及结论!$L$15)/(1+假设及结论!$H$30+假设及结论!$K$30)))</f>
        <v>0.35</v>
      </c>
      <c r="I9" s="155">
        <f>IF(I10=0,0,IF(假设及结论!$Q$7="NO",IF(I5-1&gt;假设及结论!$G$15,假设及结论!$J$15,假设及结论!$L$15),IF(I5-1&gt;假设及结论!$G$15,假设及结论!$J$15,假设及结论!$L$15)/(1+假设及结论!$H$30+假设及结论!$K$30)))</f>
        <v>0.35</v>
      </c>
      <c r="J9" s="155">
        <f>IF(J10=0,0,IF(假设及结论!$Q$7="NO",IF(J5-1&gt;假设及结论!$G$15,假设及结论!$J$15,假设及结论!$L$15),IF(J5-1&gt;假设及结论!$G$15,假设及结论!$J$15,假设及结论!$L$15)/(1+假设及结论!$H$30+假设及结论!$K$30)))</f>
        <v>0.35</v>
      </c>
      <c r="K9" s="155">
        <f>IF(K10=0,0,IF(假设及结论!$Q$7="NO",IF(K5-1&gt;假设及结论!$G$15,假设及结论!$J$15,假设及结论!$L$15),IF(K5-1&gt;假设及结论!$G$15,假设及结论!$J$15,假设及结论!$L$15)/(1+假设及结论!$H$30+假设及结论!$K$30)))</f>
        <v>0.35</v>
      </c>
      <c r="L9" s="155">
        <f>IF(L10=0,0,IF(假设及结论!$Q$7="NO",IF(L5-1&gt;假设及结论!$G$15,假设及结论!$J$15,假设及结论!$L$15),IF(L5-1&gt;假设及结论!$G$15,假设及结论!$J$15,假设及结论!$L$15)/(1+假设及结论!$H$30+假设及结论!$K$30)))</f>
        <v>0.35</v>
      </c>
      <c r="M9" s="155">
        <f>IF(M10=0,0,IF(假设及结论!$Q$7="NO",IF(M5-1&gt;假设及结论!$G$15,假设及结论!$J$15,假设及结论!$L$15),IF(M5-1&gt;假设及结论!$G$15,假设及结论!$J$15,假设及结论!$L$15)/(1+假设及结论!$H$30+假设及结论!$K$30)))</f>
        <v>0.35</v>
      </c>
      <c r="N9" s="155">
        <f>IF(N10=0,0,IF(假设及结论!$Q$7="NO",IF(N5-1&gt;假设及结论!$G$15,假设及结论!$J$15,假设及结论!$L$15),IF(N5-1&gt;假设及结论!$G$15,假设及结论!$J$15,假设及结论!$L$15)/(1+假设及结论!$H$30+假设及结论!$K$30)))</f>
        <v>0.35</v>
      </c>
      <c r="O9" s="155">
        <f>IF(O10=0,0,IF(假设及结论!$Q$7="NO",IF(O5-1&gt;假设及结论!$G$15,假设及结论!$J$15,假设及结论!$L$15),IF(O5-1&gt;假设及结论!$G$15,假设及结论!$J$15,假设及结论!$L$15)/(1+假设及结论!$H$30+假设及结论!$K$30)))</f>
        <v>0.35</v>
      </c>
      <c r="P9" s="155">
        <f>IF(P10=0,0,IF(假设及结论!$Q$7="NO",IF(P5-1&gt;假设及结论!$G$15,假设及结论!$J$15,假设及结论!$L$15),IF(P5-1&gt;假设及结论!$G$15,假设及结论!$J$15,假设及结论!$L$15)/(1+假设及结论!$H$30+假设及结论!$K$30)))</f>
        <v>0.35</v>
      </c>
      <c r="Q9" s="155">
        <f>IF(Q10=0,0,IF(假设及结论!$Q$7="NO",IF(Q5-1&gt;假设及结论!$G$15,假设及结论!$J$15,假设及结论!$L$15),IF(Q5-1&gt;假设及结论!$G$15,假设及结论!$J$15,假设及结论!$L$15)/(1+假设及结论!$H$30+假设及结论!$K$30)))</f>
        <v>0.35</v>
      </c>
      <c r="R9" s="155">
        <f>IF(R10=0,0,IF(假设及结论!$Q$7="NO",IF(R5-1&gt;假设及结论!$G$15,假设及结论!$J$15,假设及结论!$L$15),IF(R5-1&gt;假设及结论!$G$15,假设及结论!$J$15,假设及结论!$L$15)/(1+假设及结论!$H$30+假设及结论!$K$30)))</f>
        <v>0.35</v>
      </c>
      <c r="S9" s="155">
        <f>IF(S10=0,0,IF(假设及结论!$Q$7="NO",IF(S5-1&gt;假设及结论!$G$15,假设及结论!$J$15,假设及结论!$L$15),IF(S5-1&gt;假设及结论!$G$15,假设及结论!$J$15,假设及结论!$L$15)/(1+假设及结论!$H$30+假设及结论!$K$30)))</f>
        <v>0.35</v>
      </c>
      <c r="T9" s="155">
        <f>IF(T10=0,0,IF(假设及结论!$Q$7="NO",IF(T5-1&gt;假设及结论!$G$15,假设及结论!$J$15,假设及结论!$L$15),IF(T5-1&gt;假设及结论!$G$15,假设及结论!$J$15,假设及结论!$L$15)/(1+假设及结论!$H$30+假设及结论!$K$30)))</f>
        <v>0.35</v>
      </c>
      <c r="U9" s="155">
        <f>IF(U10=0,0,IF(假设及结论!$Q$7="NO",IF(U5-1&gt;假设及结论!$G$15,假设及结论!$J$15,假设及结论!$L$15),IF(U5-1&gt;假设及结论!$G$15,假设及结论!$J$15,假设及结论!$L$15)/(1+假设及结论!$H$30+假设及结论!$K$30)))</f>
        <v>0.35</v>
      </c>
      <c r="V9" s="155">
        <f>IF(V10=0,0,IF(假设及结论!$Q$7="NO",IF(V5-1&gt;假设及结论!$G$15,假设及结论!$J$15,假设及结论!$L$15),IF(V5-1&gt;假设及结论!$G$15,假设及结论!$J$15,假设及结论!$L$15)/(1+假设及结论!$H$30+假设及结论!$K$30)))</f>
        <v>0.35</v>
      </c>
      <c r="W9" s="155">
        <f>IF(W10=0,0,IF(假设及结论!$Q$7="NO",IF(W5-1&gt;假设及结论!$G$15,假设及结论!$J$15,假设及结论!$L$15),IF(W5-1&gt;假设及结论!$G$15,假设及结论!$J$15,假设及结论!$L$15)/(1+假设及结论!$H$30+假设及结论!$K$30)))</f>
        <v>0.35</v>
      </c>
      <c r="X9" s="155">
        <f>IF(X10=0,0,IF(假设及结论!$Q$7="NO",IF(X5-1&gt;假设及结论!$G$15,假设及结论!$J$15,假设及结论!$L$15),IF(X5-1&gt;假设及结论!$G$15,假设及结论!$J$15,假设及结论!$L$15)/(1+假设及结论!$H$30+假设及结论!$K$30)))</f>
        <v>0.35</v>
      </c>
      <c r="Y9" s="155">
        <f>IF(Y10=0,0,IF(假设及结论!$Q$7="NO",IF(Y5-1&gt;假设及结论!$G$15,假设及结论!$J$15,假设及结论!$L$15),IF(Y5-1&gt;假设及结论!$G$15,假设及结论!$J$15,假设及结论!$L$15)/(1+假设及结论!$H$30+假设及结论!$K$30)))</f>
        <v>0.35</v>
      </c>
      <c r="Z9" s="155">
        <f>IF(Z10=0,0,IF(假设及结论!$Q$7="NO",IF(Z5-1&gt;假设及结论!$G$15,假设及结论!$J$15,假设及结论!$L$15),IF(Z5-1&gt;假设及结论!$G$15,假设及结论!$J$15,假设及结论!$L$15)/(1+假设及结论!$H$30+假设及结论!$K$30)))</f>
        <v>0.35</v>
      </c>
      <c r="AA9" s="155">
        <f>IF(AA10=0,0,IF(假设及结论!$Q$7="NO",IF(AA5-1&gt;假设及结论!$G$15,假设及结论!$J$15,假设及结论!$L$15),IF(AA5-1&gt;假设及结论!$G$15,假设及结论!$J$15,假设及结论!$L$15)/(1+假设及结论!$H$30+假设及结论!$K$30)))</f>
        <v>0.35</v>
      </c>
      <c r="AB9" s="155">
        <f>IF(AB10=0,0,IF(假设及结论!$Q$7="NO",IF(AB5-1&gt;假设及结论!$G$15,假设及结论!$J$15,假设及结论!$L$15),IF(AB5-1&gt;假设及结论!$G$15,假设及结论!$J$15,假设及结论!$L$15)/(1+假设及结论!$H$30+假设及结论!$K$30)))</f>
        <v>0.35</v>
      </c>
      <c r="AC9" s="155">
        <f>IF(AC10=0,0,IF(假设及结论!$Q$7="NO",IF(AC5-1&gt;假设及结论!$G$15,假设及结论!$J$15,假设及结论!$L$15),IF(AC5-1&gt;假设及结论!$G$15,假设及结论!$J$15,假设及结论!$L$15)/(1+假设及结论!$H$30+假设及结论!$K$30)))</f>
        <v>0.35</v>
      </c>
      <c r="AD9" s="155">
        <f>IF(AD10=0,0,IF(假设及结论!$Q$7="NO",IF(AD5-1&gt;假设及结论!$G$15,假设及结论!$J$15,假设及结论!$L$15),IF(AD5-1&gt;假设及结论!$G$15,假设及结论!$J$15,假设及结论!$L$15)/(1+假设及结论!$H$30+假设及结论!$K$30)))</f>
        <v>0</v>
      </c>
    </row>
    <row r="10" s="56" customFormat="1" spans="1:30">
      <c r="A10" s="47"/>
      <c r="B10" s="152" t="s">
        <v>1378</v>
      </c>
      <c r="C10" s="153"/>
      <c r="D10" s="154"/>
      <c r="E10" s="46">
        <f>IF(E5&lt;=ConstructPeriod,0,IF(E5-ConstructPeriod&lt;=OperationPeriod,假设及结论!$L$13,0))</f>
        <v>1424.55</v>
      </c>
      <c r="F10" s="46">
        <f>IF(F5&lt;=ConstructPeriod,0,IF(F5-ConstructPeriod&lt;=OperationPeriod,假设及结论!$L$13,0)*(1-假设及结论!$N$21))</f>
        <v>1410.3045</v>
      </c>
      <c r="G10" s="46">
        <f>IF(G5&lt;=ConstructPeriod,0,IF(G5-ConstructPeriod&lt;=OperationPeriod,假设及结论!$L$13,0)*(1-假设及结论!$N$21-假设及结论!$O$21*(G5-3)))</f>
        <v>1404.6063</v>
      </c>
      <c r="H10" s="46">
        <f>IF(H5&lt;=ConstructPeriod,0,IF(H5-ConstructPeriod&lt;=OperationPeriod,假设及结论!$L$13,0)*(1-假设及结论!$N$21-假设及结论!$O$21*(H5-3)))</f>
        <v>1398.9081</v>
      </c>
      <c r="I10" s="46">
        <f>IF(I5&lt;=ConstructPeriod,0,IF(I5-ConstructPeriod&lt;=OperationPeriod,假设及结论!$L$13,0)*(1-假设及结论!$N$21-假设及结论!$O$21*(I5-3)))</f>
        <v>1393.2099</v>
      </c>
      <c r="J10" s="46">
        <f>IF(J5&lt;=ConstructPeriod,0,IF(J5-ConstructPeriod&lt;=OperationPeriod,假设及结论!$L$13,0)*(1-假设及结论!$N$21-假设及结论!$O$21*(J5-3)))</f>
        <v>1387.5117</v>
      </c>
      <c r="K10" s="46">
        <f>IF(K5&lt;=ConstructPeriod,0,IF(K5-ConstructPeriod&lt;=OperationPeriod,假设及结论!$L$13,0)*(1-假设及结论!$N$21-假设及结论!$O$21*(K5-3)))</f>
        <v>1381.8135</v>
      </c>
      <c r="L10" s="46">
        <f>IF(L5&lt;=ConstructPeriod,0,IF(L5-ConstructPeriod&lt;=OperationPeriod,假设及结论!$L$13,0)*(1-假设及结论!$N$21-假设及结论!$O$21*(L5-3)))</f>
        <v>1376.1153</v>
      </c>
      <c r="M10" s="46">
        <f>IF(M5&lt;=ConstructPeriod,0,IF(M5-ConstructPeriod&lt;=OperationPeriod,假设及结论!$L$13,0)*(1-假设及结论!$N$21-假设及结论!$O$21*(M5-3)))</f>
        <v>1370.4171</v>
      </c>
      <c r="N10" s="46">
        <f>IF(N5&lt;=ConstructPeriod,0,IF(N5-ConstructPeriod&lt;=OperationPeriod,假设及结论!$L$13,0)*(1-假设及结论!$N$21-假设及结论!$O$21*(N5-3)))</f>
        <v>1364.7189</v>
      </c>
      <c r="O10" s="46">
        <f>IF(O5&lt;=ConstructPeriod,0,IF(O5-ConstructPeriod&lt;=OperationPeriod,假设及结论!$L$13,0)*(1-假设及结论!$N$21-假设及结论!$O$21*(O5-3)))</f>
        <v>1359.0207</v>
      </c>
      <c r="P10" s="46">
        <f>IF(P5&lt;=ConstructPeriod,0,IF(P5-ConstructPeriod&lt;=OperationPeriod,假设及结论!$L$13,0)*(1-假设及结论!$N$21-假设及结论!$O$21*(P5-3)))</f>
        <v>1353.3225</v>
      </c>
      <c r="Q10" s="46">
        <f>IF(Q5&lt;=ConstructPeriod,0,IF(Q5-ConstructPeriod&lt;=OperationPeriod,假设及结论!$L$13,0)*(1-假设及结论!$N$21-假设及结论!$O$21*(Q5-3)))</f>
        <v>1347.6243</v>
      </c>
      <c r="R10" s="46">
        <f>IF(R5&lt;=ConstructPeriod,0,IF(R5-ConstructPeriod&lt;=OperationPeriod,假设及结论!$L$13,0)*(1-假设及结论!$N$21-假设及结论!$O$21*(R5-3)))</f>
        <v>1341.9261</v>
      </c>
      <c r="S10" s="46">
        <f>IF(S5&lt;=ConstructPeriod,0,IF(S5-ConstructPeriod&lt;=OperationPeriod,假设及结论!$L$13,0)*(1-假设及结论!$N$21-假设及结论!$O$21*(S5-3)))</f>
        <v>1336.2279</v>
      </c>
      <c r="T10" s="46">
        <f>IF(T5&lt;=ConstructPeriod,0,IF(T5-ConstructPeriod&lt;=OperationPeriod,假设及结论!$L$13,0)*(1-假设及结论!$N$21-假设及结论!$O$21*(T5-3)))</f>
        <v>1330.5297</v>
      </c>
      <c r="U10" s="46">
        <f>IF(U5&lt;=ConstructPeriod,0,IF(U5-ConstructPeriod&lt;=OperationPeriod,假设及结论!$L$13,0)*(1-假设及结论!$N$21-假设及结论!$O$21*(U5-3)))</f>
        <v>1324.8315</v>
      </c>
      <c r="V10" s="46">
        <f>IF(V5&lt;=ConstructPeriod,0,IF(V5-ConstructPeriod&lt;=OperationPeriod,假设及结论!$L$13,0)*(1-假设及结论!$N$21-假设及结论!$O$21*(V5-3)))</f>
        <v>1319.1333</v>
      </c>
      <c r="W10" s="46">
        <f>IF(W5&lt;=ConstructPeriod,0,IF(W5-ConstructPeriod&lt;=OperationPeriod,假设及结论!$L$13,0)*(1-假设及结论!$N$21-假设及结论!$O$21*(W5-3)))</f>
        <v>1313.4351</v>
      </c>
      <c r="X10" s="46">
        <f>IF(X5&lt;=ConstructPeriod,0,IF(X5-ConstructPeriod&lt;=OperationPeriod,假设及结论!$L$13,0)*(1-假设及结论!$N$21-假设及结论!$O$21*(X5-3)))</f>
        <v>1307.7369</v>
      </c>
      <c r="Y10" s="46">
        <f>IF(Y5&lt;=ConstructPeriod,0,IF(Y5-ConstructPeriod&lt;=OperationPeriod,假设及结论!$L$13,0)*(1-假设及结论!$N$21-假设及结论!$O$21*(Y5-3)))</f>
        <v>1302.0387</v>
      </c>
      <c r="Z10" s="46">
        <f>IF(Z5&lt;=ConstructPeriod,0,IF(Z5-ConstructPeriod&lt;=OperationPeriod,假设及结论!$L$13,0)*(1-假设及结论!$N$21-假设及结论!$O$21*(Z5-3)))</f>
        <v>1296.3405</v>
      </c>
      <c r="AA10" s="46">
        <f>IF(AA5&lt;=ConstructPeriod,0,IF(AA5-ConstructPeriod&lt;=OperationPeriod,假设及结论!$L$13,0)*(1-假设及结论!$N$21-假设及结论!$O$21*(AA5-3)))</f>
        <v>1290.6423</v>
      </c>
      <c r="AB10" s="46">
        <f>IF(AB5&lt;=ConstructPeriod,0,IF(AB5-ConstructPeriod&lt;=OperationPeriod,假设及结论!$L$13,0)*(1-假设及结论!$N$21-假设及结论!$O$21*(AB5-3)))</f>
        <v>1284.9441</v>
      </c>
      <c r="AC10" s="46">
        <f>IF(AC5&lt;=ConstructPeriod,0,IF(AC5-ConstructPeriod&lt;=OperationPeriod,假设及结论!$L$13,0)*(1-假设及结论!$N$21-假设及结论!$O$21*(AC5-3)))</f>
        <v>1279.2459</v>
      </c>
      <c r="AD10" s="46">
        <f>IF(AD5&lt;=ConstructPeriod,0,IF(AD5-ConstructPeriod&lt;=OperationPeriod,假设及结论!$L$13,0)*(1-假设及结论!$N$21-假设及结论!$O$21*(AD5-3)))</f>
        <v>0</v>
      </c>
    </row>
    <row r="11" s="56" customFormat="1" spans="1:30">
      <c r="A11" s="47"/>
      <c r="B11" s="152" t="s">
        <v>1379</v>
      </c>
      <c r="C11" s="153"/>
      <c r="D11" s="154"/>
      <c r="E11" s="46">
        <f>E10*假设及结论!$F$13</f>
        <v>106841.25</v>
      </c>
      <c r="F11" s="46">
        <f>F10*假设及结论!$F$13</f>
        <v>105772.8375</v>
      </c>
      <c r="G11" s="46">
        <f>G10*假设及结论!$F$13</f>
        <v>105345.4725</v>
      </c>
      <c r="H11" s="46">
        <f>H10*假设及结论!$F$13</f>
        <v>104918.1075</v>
      </c>
      <c r="I11" s="46">
        <f>I10*假设及结论!$F$13</f>
        <v>104490.7425</v>
      </c>
      <c r="J11" s="46">
        <f>J10*假设及结论!$F$13</f>
        <v>104063.3775</v>
      </c>
      <c r="K11" s="46">
        <f>K10*假设及结论!$F$13</f>
        <v>103636.0125</v>
      </c>
      <c r="L11" s="46">
        <f>L10*假设及结论!$F$13</f>
        <v>103208.6475</v>
      </c>
      <c r="M11" s="46">
        <f>M10*假设及结论!$F$13</f>
        <v>102781.2825</v>
      </c>
      <c r="N11" s="46">
        <f>N10*假设及结论!$F$13</f>
        <v>102353.9175</v>
      </c>
      <c r="O11" s="46">
        <f>O10*假设及结论!$F$13</f>
        <v>101926.5525</v>
      </c>
      <c r="P11" s="46">
        <f>P10*假设及结论!$F$13</f>
        <v>101499.1875</v>
      </c>
      <c r="Q11" s="46">
        <f>Q10*假设及结论!$F$13</f>
        <v>101071.8225</v>
      </c>
      <c r="R11" s="46">
        <f>R10*假设及结论!$F$13</f>
        <v>100644.4575</v>
      </c>
      <c r="S11" s="46">
        <f>S10*假设及结论!$F$13</f>
        <v>100217.0925</v>
      </c>
      <c r="T11" s="46">
        <f>T10*假设及结论!$F$13</f>
        <v>99789.7275</v>
      </c>
      <c r="U11" s="46">
        <f>U10*假设及结论!$F$13</f>
        <v>99362.3625</v>
      </c>
      <c r="V11" s="46">
        <f>V10*假设及结论!$F$13</f>
        <v>98934.9975</v>
      </c>
      <c r="W11" s="46">
        <f>W10*假设及结论!$F$13</f>
        <v>98507.6325</v>
      </c>
      <c r="X11" s="46">
        <f>X10*假设及结论!$F$13</f>
        <v>98080.2675</v>
      </c>
      <c r="Y11" s="46">
        <f>Y10*假设及结论!$F$13</f>
        <v>97652.9025</v>
      </c>
      <c r="Z11" s="46">
        <f>Z10*假设及结论!$F$13</f>
        <v>97225.5375</v>
      </c>
      <c r="AA11" s="46">
        <f>AA10*假设及结论!$F$13</f>
        <v>96798.1725</v>
      </c>
      <c r="AB11" s="46">
        <f>AB10*假设及结论!$F$13</f>
        <v>96370.8075</v>
      </c>
      <c r="AC11" s="46">
        <f>AC10*假设及结论!$F$13</f>
        <v>95943.4425</v>
      </c>
      <c r="AD11" s="46">
        <f>AD10*假设及结论!$F$13</f>
        <v>0</v>
      </c>
    </row>
    <row r="12" s="56" customFormat="1" spans="1:30">
      <c r="A12" s="47" t="s">
        <v>181</v>
      </c>
      <c r="B12" s="149" t="s">
        <v>1380</v>
      </c>
      <c r="C12" s="150"/>
      <c r="D12" s="156"/>
      <c r="E12" s="151">
        <f>IF(E9-1&lt;假设及结论!$F$15,0,IF(E9-1-假设及结论!$F$15&lt;=假设及结论!$G$15,E13*E15,0))</f>
        <v>0</v>
      </c>
      <c r="F12" s="151">
        <f>IF(F9-1&lt;假设及结论!$F$15,0,IF(F9-1-假设及结论!$F$15&lt;=假设及结论!$G$15,F13*F15,0))</f>
        <v>0</v>
      </c>
      <c r="G12" s="151">
        <f>IF(G9-1&lt;假设及结论!$F$15,0,IF(G9-1-假设及结论!$F$15&lt;=假设及结论!$G$15,G13*G15,0))</f>
        <v>0</v>
      </c>
      <c r="H12" s="151">
        <f>IF(H9-1&lt;假设及结论!$F$15,0,IF(H9-1-假设及结论!$F$15&lt;=假设及结论!$G$15,H13*H15,0))</f>
        <v>0</v>
      </c>
      <c r="I12" s="151">
        <f>IF(I9-1&lt;假设及结论!$F$15,0,IF(I9-1-假设及结论!$F$15&lt;=假设及结论!$G$15,I13*I15,0))</f>
        <v>0</v>
      </c>
      <c r="J12" s="151">
        <f>IF(J9-1&lt;假设及结论!$F$15,0,IF(J9-1-假设及结论!$F$15&lt;=假设及结论!$G$15,J13*J15,0))</f>
        <v>0</v>
      </c>
      <c r="K12" s="151">
        <f>IF(K9-1&lt;假设及结论!$F$15,0,IF(K9-1-假设及结论!$F$15&lt;=假设及结论!$G$15,K13*K15,0))</f>
        <v>0</v>
      </c>
      <c r="L12" s="151">
        <f>IF(L9-1&lt;假设及结论!$F$15,0,IF(L9-1-假设及结论!$F$15&lt;=假设及结论!$G$15,L13*L15,0))</f>
        <v>0</v>
      </c>
      <c r="M12" s="151">
        <f>IF(M9-1&lt;假设及结论!$F$15,0,IF(M9-1-假设及结论!$F$15&lt;=假设及结论!$G$15,M13*M15,0))</f>
        <v>0</v>
      </c>
      <c r="N12" s="151">
        <f>IF(N9-1&lt;假设及结论!$F$15,0,IF(N9-1-假设及结论!$F$15&lt;=假设及结论!$G$15,N13*N15,0))</f>
        <v>0</v>
      </c>
      <c r="O12" s="151">
        <f>IF(O9-1&lt;假设及结论!$F$15,0,IF(O9-1-假设及结论!$F$15&lt;=假设及结论!$G$15,O13*O15,0))</f>
        <v>0</v>
      </c>
      <c r="P12" s="151">
        <f>IF(P9-1&lt;假设及结论!$F$15,0,IF(P9-1-假设及结论!$F$15&lt;=假设及结论!$G$15,P13*P15,0))</f>
        <v>0</v>
      </c>
      <c r="Q12" s="151">
        <f>IF(Q9-1&lt;假设及结论!$F$15,0,IF(Q9-1-假设及结论!$F$15&lt;=假设及结论!$G$15,Q13*Q15,0))</f>
        <v>0</v>
      </c>
      <c r="R12" s="151">
        <f>IF(R9-1&lt;假设及结论!$F$15,0,IF(R9-1-假设及结论!$F$15&lt;=假设及结论!$G$15,R13*R15,0))</f>
        <v>0</v>
      </c>
      <c r="S12" s="151">
        <f>IF(S9-1&lt;假设及结论!$F$15,0,IF(S9-1-假设及结论!$F$15&lt;=假设及结论!$G$15,S13*S15,0))</f>
        <v>0</v>
      </c>
      <c r="T12" s="151">
        <f>IF(T9-1&lt;假设及结论!$F$15,0,IF(T9-1-假设及结论!$F$15&lt;=假设及结论!$G$15,T13*T15,0))</f>
        <v>0</v>
      </c>
      <c r="U12" s="151">
        <f>IF(U9-1&lt;假设及结论!$F$15,0,IF(U9-1-假设及结论!$F$15&lt;=假设及结论!$G$15,U13*U15,0))</f>
        <v>0</v>
      </c>
      <c r="V12" s="151">
        <f>IF(V9-1&lt;假设及结论!$F$15,0,IF(V9-1-假设及结论!$F$15&lt;=假设及结论!$G$15,V13*V15,0))</f>
        <v>0</v>
      </c>
      <c r="W12" s="151">
        <f>IF(W9-1&lt;假设及结论!$F$15,0,IF(W9-1-假设及结论!$F$15&lt;=假设及结论!$G$15,W13*W15,0))</f>
        <v>0</v>
      </c>
      <c r="X12" s="151">
        <f>IF(X9-1&lt;假设及结论!$F$15,0,IF(X9-1-假设及结论!$F$15&lt;=假设及结论!$G$15,X13*X15,0))</f>
        <v>0</v>
      </c>
      <c r="Y12" s="151">
        <f>IF(Y9-1&lt;假设及结论!$F$15,0,IF(Y9-1-假设及结论!$F$15&lt;=假设及结论!$G$15,Y13*Y15,0))</f>
        <v>0</v>
      </c>
      <c r="Z12" s="151">
        <f>IF(Z9-1&lt;假设及结论!$F$15,0,IF(Z9-1-假设及结论!$F$15&lt;=假设及结论!$G$15,Z13*Z15,0))</f>
        <v>0</v>
      </c>
      <c r="AA12" s="151">
        <f>IF(AA9-1&lt;假设及结论!$F$15,0,IF(AA9-1-假设及结论!$F$15&lt;=假设及结论!$G$15,AA13*AA15,0))</f>
        <v>0</v>
      </c>
      <c r="AB12" s="151">
        <f>IF(AB9-1&lt;假设及结论!$F$15,0,IF(AB9-1-假设及结论!$F$15&lt;=假设及结论!$G$15,AB13*AB15,0))</f>
        <v>0</v>
      </c>
      <c r="AC12" s="151">
        <f>IF(AC9-1&lt;假设及结论!$F$15,0,IF(AC9-1-假设及结论!$F$15&lt;=假设及结论!$G$15,AC13*AC15,0))</f>
        <v>0</v>
      </c>
      <c r="AD12" s="151">
        <f>IF(AD9-1&lt;假设及结论!$F$15,0,IF(AD9-1-假设及结论!$F$15&lt;=假设及结论!$G$15,AD13*AD15,0))</f>
        <v>0</v>
      </c>
    </row>
    <row r="13" s="56" customFormat="1" spans="1:30">
      <c r="A13" s="47"/>
      <c r="B13" s="152" t="s">
        <v>1381</v>
      </c>
      <c r="C13" s="153"/>
      <c r="D13" s="154"/>
      <c r="E13" s="155">
        <f>IF(E14=0,0,IF(假设及结论!$Q$7="NO",假设及结论!$P$15,假设及结论!$P$15/(1+假设及结论!$H$30+假设及结论!$K$30)))</f>
        <v>0</v>
      </c>
      <c r="F13" s="155">
        <f>IF(F14=0,0,IF(假设及结论!$Q$7="NO",假设及结论!$P$15,假设及结论!$P$15/(1+假设及结论!$H$30+假设及结论!$K$30)))</f>
        <v>0</v>
      </c>
      <c r="G13" s="155">
        <f>IF(G14=0,0,IF(假设及结论!$Q$7="NO",假设及结论!$P$15,假设及结论!$P$15/(1+假设及结论!$H$30+假设及结论!$K$30)))</f>
        <v>0</v>
      </c>
      <c r="H13" s="155">
        <f>IF(H14=0,0,IF(假设及结论!$Q$7="NO",假设及结论!$P$15,假设及结论!$P$15/(1+假设及结论!$H$30+假设及结论!$K$30)))</f>
        <v>0</v>
      </c>
      <c r="I13" s="155">
        <f>IF(I14=0,0,IF(假设及结论!$Q$7="NO",假设及结论!$P$15,假设及结论!$P$15/(1+假设及结论!$H$30+假设及结论!$K$30)))</f>
        <v>0</v>
      </c>
      <c r="J13" s="155">
        <f>IF(J14=0,0,IF(假设及结论!$Q$7="NO",假设及结论!$P$15,假设及结论!$P$15/(1+假设及结论!$H$30+假设及结论!$K$30)))</f>
        <v>0</v>
      </c>
      <c r="K13" s="155">
        <f>IF(K14=0,0,IF(假设及结论!$Q$7="NO",假设及结论!$P$15,假设及结论!$P$15/(1+假设及结论!$H$30+假设及结论!$K$30)))</f>
        <v>0</v>
      </c>
      <c r="L13" s="155">
        <f>IF(L14=0,0,IF(假设及结论!$Q$7="NO",假设及结论!$P$15,假设及结论!$P$15/(1+假设及结论!$H$30+假设及结论!$K$30)))</f>
        <v>0</v>
      </c>
      <c r="M13" s="155">
        <f>IF(M14=0,0,IF(假设及结论!$Q$7="NO",假设及结论!$P$15,假设及结论!$P$15/(1+假设及结论!$H$30+假设及结论!$K$30)))</f>
        <v>0</v>
      </c>
      <c r="N13" s="155">
        <f>IF(N14=0,0,IF(假设及结论!$Q$7="NO",假设及结论!$P$15,假设及结论!$P$15/(1+假设及结论!$H$30+假设及结论!$K$30)))</f>
        <v>0</v>
      </c>
      <c r="O13" s="155">
        <f>IF(O14=0,0,IF(假设及结论!$Q$7="NO",假设及结论!$P$15,假设及结论!$P$15/(1+假设及结论!$H$30+假设及结论!$K$30)))</f>
        <v>0</v>
      </c>
      <c r="P13" s="155">
        <f>IF(P14=0,0,IF(假设及结论!$Q$7="NO",假设及结论!$P$15,假设及结论!$P$15/(1+假设及结论!$H$30+假设及结论!$K$30)))</f>
        <v>0</v>
      </c>
      <c r="Q13" s="155">
        <f>IF(Q14=0,0,IF(假设及结论!$Q$7="NO",假设及结论!$P$15,假设及结论!$P$15/(1+假设及结论!$H$30+假设及结论!$K$30)))</f>
        <v>0</v>
      </c>
      <c r="R13" s="155">
        <f>IF(R14=0,0,IF(假设及结论!$Q$7="NO",假设及结论!$P$15,假设及结论!$P$15/(1+假设及结论!$H$30+假设及结论!$K$30)))</f>
        <v>0</v>
      </c>
      <c r="S13" s="155">
        <f>IF(S14=0,0,IF(假设及结论!$Q$7="NO",假设及结论!$P$15,假设及结论!$P$15/(1+假设及结论!$H$30+假设及结论!$K$30)))</f>
        <v>0</v>
      </c>
      <c r="T13" s="155">
        <f>IF(T14=0,0,IF(假设及结论!$Q$7="NO",假设及结论!$P$15,假设及结论!$P$15/(1+假设及结论!$H$30+假设及结论!$K$30)))</f>
        <v>0</v>
      </c>
      <c r="U13" s="155">
        <f>IF(U14=0,0,IF(假设及结论!$Q$7="NO",假设及结论!$P$15,假设及结论!$P$15/(1+假设及结论!$H$30+假设及结论!$K$30)))</f>
        <v>0</v>
      </c>
      <c r="V13" s="155">
        <f>IF(V14=0,0,IF(假设及结论!$Q$7="NO",假设及结论!$P$15,假设及结论!$P$15/(1+假设及结论!$H$30+假设及结论!$K$30)))</f>
        <v>0</v>
      </c>
      <c r="W13" s="155">
        <f>IF(W14=0,0,IF(假设及结论!$Q$7="NO",假设及结论!$P$15,假设及结论!$P$15/(1+假设及结论!$H$30+假设及结论!$K$30)))</f>
        <v>0</v>
      </c>
      <c r="X13" s="155">
        <f>IF(X14=0,0,IF(假设及结论!$Q$7="NO",假设及结论!$P$15,假设及结论!$P$15/(1+假设及结论!$H$30+假设及结论!$K$30)))</f>
        <v>0</v>
      </c>
      <c r="Y13" s="155">
        <f>IF(Y14=0,0,IF(假设及结论!$Q$7="NO",假设及结论!$P$15,假设及结论!$P$15/(1+假设及结论!$H$30+假设及结论!$K$30)))</f>
        <v>0</v>
      </c>
      <c r="Z13" s="155">
        <f>IF(Z14=0,0,IF(假设及结论!$Q$7="NO",假设及结论!$P$15,假设及结论!$P$15/(1+假设及结论!$H$30+假设及结论!$K$30)))</f>
        <v>0</v>
      </c>
      <c r="AA13" s="155">
        <f>IF(AA14=0,0,IF(假设及结论!$Q$7="NO",假设及结论!$P$15,假设及结论!$P$15/(1+假设及结论!$H$30+假设及结论!$K$30)))</f>
        <v>0</v>
      </c>
      <c r="AB13" s="155">
        <f>IF(AB14=0,0,IF(假设及结论!$Q$7="NO",假设及结论!$P$15,假设及结论!$P$15/(1+假设及结论!$H$30+假设及结论!$K$30)))</f>
        <v>0</v>
      </c>
      <c r="AC13" s="155">
        <f>IF(AC14=0,0,IF(假设及结论!$Q$7="NO",假设及结论!$P$15,假设及结论!$P$15/(1+假设及结论!$H$30+假设及结论!$K$30)))</f>
        <v>0</v>
      </c>
      <c r="AD13" s="155">
        <f>IF(AD14=0,0,IF(假设及结论!$Q$7="NO",假设及结论!$P$15,假设及结论!$P$15/(1+假设及结论!$H$30+假设及结论!$K$30)))</f>
        <v>0</v>
      </c>
    </row>
    <row r="14" s="56" customFormat="1" spans="1:30">
      <c r="A14" s="47"/>
      <c r="B14" s="152" t="s">
        <v>1382</v>
      </c>
      <c r="C14" s="148">
        <f t="shared" ref="C14:C19" si="2">SUM(E14:AD14)</f>
        <v>0</v>
      </c>
      <c r="D14" s="46"/>
      <c r="E14" s="46">
        <f>IF(E5&lt;=ConstructPeriod,0,IF(E5-ConstructPeriod&lt;=OperationPeriod,假设及结论!$P$13,0))</f>
        <v>0</v>
      </c>
      <c r="F14" s="46">
        <f>IF(F5&lt;=ConstructPeriod,0,IF(F5-ConstructPeriod&lt;=OperationPeriod,假设及结论!$P$13,0)*(1-假设及结论!$N$21))</f>
        <v>0</v>
      </c>
      <c r="G14" s="46">
        <f>IF(G5&lt;=ConstructPeriod,0,IF(G5-ConstructPeriod&lt;=OperationPeriod,假设及结论!$P$13,0)*(1-假设及结论!$N$21-假设及结论!$O$21*(G5-3)))</f>
        <v>0</v>
      </c>
      <c r="H14" s="46">
        <f>IF(H5&lt;=ConstructPeriod,0,IF(H5-ConstructPeriod&lt;=OperationPeriod,假设及结论!$P$13,0)*(1-假设及结论!$N$21-假设及结论!$O$21*(H5-3)))</f>
        <v>0</v>
      </c>
      <c r="I14" s="46">
        <f>IF(I5&lt;=ConstructPeriod,0,IF(I5-ConstructPeriod&lt;=OperationPeriod,假设及结论!$P$13,0)*(1-假设及结论!$N$21-假设及结论!$O$21*(I5-3)))</f>
        <v>0</v>
      </c>
      <c r="J14" s="46">
        <f>IF(J5&lt;=ConstructPeriod,0,IF(J5-ConstructPeriod&lt;=OperationPeriod,假设及结论!$P$13,0)*(1-假设及结论!$N$21-假设及结论!$O$21*(J5-3)))</f>
        <v>0</v>
      </c>
      <c r="K14" s="46">
        <f>IF(K5&lt;=ConstructPeriod,0,IF(K5-ConstructPeriod&lt;=OperationPeriod,假设及结论!$P$13,0)*(1-假设及结论!$N$21-假设及结论!$O$21*(K5-3)))</f>
        <v>0</v>
      </c>
      <c r="L14" s="46">
        <f>IF(L5&lt;=ConstructPeriod,0,IF(L5-ConstructPeriod&lt;=OperationPeriod,假设及结论!$P$13,0)*(1-假设及结论!$N$21-假设及结论!$O$21*(L5-3)))</f>
        <v>0</v>
      </c>
      <c r="M14" s="46">
        <f>IF(M5&lt;=ConstructPeriod,0,IF(M5-ConstructPeriod&lt;=OperationPeriod,假设及结论!$P$13,0)*(1-假设及结论!$N$21-假设及结论!$O$21*(M5-3)))</f>
        <v>0</v>
      </c>
      <c r="N14" s="46">
        <f>IF(N5&lt;=ConstructPeriod,0,IF(N5-ConstructPeriod&lt;=OperationPeriod,假设及结论!$P$13,0)*(1-假设及结论!$N$21-假设及结论!$O$21*(N5-3)))</f>
        <v>0</v>
      </c>
      <c r="O14" s="46">
        <f>IF(O5&lt;=ConstructPeriod,0,IF(O5-ConstructPeriod&lt;=OperationPeriod,假设及结论!$P$13,0)*(1-假设及结论!$N$21-假设及结论!$O$21*(O5-3)))</f>
        <v>0</v>
      </c>
      <c r="P14" s="46">
        <f>IF(P5&lt;=ConstructPeriod,0,IF(P5-ConstructPeriod&lt;=OperationPeriod,假设及结论!$P$13,0)*(1-假设及结论!$N$21-假设及结论!$O$21*(P5-3)))</f>
        <v>0</v>
      </c>
      <c r="Q14" s="46">
        <f>IF(Q5&lt;=ConstructPeriod,0,IF(Q5-ConstructPeriod&lt;=OperationPeriod,假设及结论!$P$13,0)*(1-假设及结论!$N$21-假设及结论!$O$21*(Q5-3)))</f>
        <v>0</v>
      </c>
      <c r="R14" s="46">
        <f>IF(R5&lt;=ConstructPeriod,0,IF(R5-ConstructPeriod&lt;=OperationPeriod,假设及结论!$P$13,0)*(1-假设及结论!$N$21-假设及结论!$O$21*(R5-3)))</f>
        <v>0</v>
      </c>
      <c r="S14" s="46">
        <f>IF(S5&lt;=ConstructPeriod,0,IF(S5-ConstructPeriod&lt;=OperationPeriod,假设及结论!$P$13,0)*(1-假设及结论!$N$21-假设及结论!$O$21*(S5-3)))</f>
        <v>0</v>
      </c>
      <c r="T14" s="46">
        <f>IF(T5&lt;=ConstructPeriod,0,IF(T5-ConstructPeriod&lt;=OperationPeriod,假设及结论!$P$13,0)*(1-假设及结论!$N$21-假设及结论!$O$21*(T5-3)))</f>
        <v>0</v>
      </c>
      <c r="U14" s="46">
        <f>IF(U5&lt;=ConstructPeriod,0,IF(U5-ConstructPeriod&lt;=OperationPeriod,假设及结论!$P$13,0)*(1-假设及结论!$N$21-假设及结论!$O$21*(U5-3)))</f>
        <v>0</v>
      </c>
      <c r="V14" s="46">
        <f>IF(V5&lt;=ConstructPeriod,0,IF(V5-ConstructPeriod&lt;=OperationPeriod,假设及结论!$P$13,0)*(1-假设及结论!$N$21-假设及结论!$O$21*(V5-3)))</f>
        <v>0</v>
      </c>
      <c r="W14" s="46">
        <f>IF(W5&lt;=ConstructPeriod,0,IF(W5-ConstructPeriod&lt;=OperationPeriod,假设及结论!$P$13,0)*(1-假设及结论!$N$21-假设及结论!$O$21*(W5-3)))</f>
        <v>0</v>
      </c>
      <c r="X14" s="46">
        <f>IF(X5&lt;=ConstructPeriod,0,IF(X5-ConstructPeriod&lt;=OperationPeriod,假设及结论!$P$13,0)*(1-假设及结论!$N$21-假设及结论!$O$21*(X5-3)))</f>
        <v>0</v>
      </c>
      <c r="Y14" s="46">
        <f>IF(Y5&lt;=ConstructPeriod,0,IF(Y5-ConstructPeriod&lt;=OperationPeriod,假设及结论!$P$13,0)*(1-假设及结论!$N$21-假设及结论!$O$21*(Y5-3)))</f>
        <v>0</v>
      </c>
      <c r="Z14" s="46">
        <f>IF(Z5&lt;=ConstructPeriod,0,IF(Z5-ConstructPeriod&lt;=OperationPeriod,假设及结论!$P$13,0)*(1-假设及结论!$N$21-假设及结论!$O$21*(Z5-3)))</f>
        <v>0</v>
      </c>
      <c r="AA14" s="46">
        <f>IF(AA5&lt;=ConstructPeriod,0,IF(AA5-ConstructPeriod&lt;=OperationPeriod,假设及结论!$P$13,0)*(1-假设及结论!$N$21-假设及结论!$O$21*(AA5-3)))</f>
        <v>0</v>
      </c>
      <c r="AB14" s="46">
        <f>IF(AB5&lt;=ConstructPeriod,0,IF(AB5-ConstructPeriod&lt;=OperationPeriod,假设及结论!$P$13,0)*(1-假设及结论!$N$21-假设及结论!$O$21*(AB5-3)))</f>
        <v>0</v>
      </c>
      <c r="AC14" s="46">
        <f>IF(AC5&lt;=ConstructPeriod,0,IF(AC5-ConstructPeriod&lt;=OperationPeriod,假设及结论!$P$13,0)*(1-假设及结论!$N$21-假设及结论!$O$21*(AC5-3)))</f>
        <v>0</v>
      </c>
      <c r="AD14" s="46">
        <f>IF(AD5&lt;=ConstructPeriod,0,IF(AD5-ConstructPeriod&lt;=OperationPeriod,假设及结论!$P$13,0)*(1-假设及结论!$N$21-假设及结论!$O$21*(AD5-3)))</f>
        <v>0</v>
      </c>
    </row>
    <row r="15" s="56" customFormat="1" spans="1:30">
      <c r="A15" s="47"/>
      <c r="B15" s="152" t="s">
        <v>1383</v>
      </c>
      <c r="C15" s="148"/>
      <c r="D15" s="46"/>
      <c r="E15" s="46">
        <f>E14*假设及结论!$F$13</f>
        <v>0</v>
      </c>
      <c r="F15" s="46">
        <f>F14*假设及结论!$F$13</f>
        <v>0</v>
      </c>
      <c r="G15" s="46">
        <f>G14*假设及结论!$F$13</f>
        <v>0</v>
      </c>
      <c r="H15" s="46">
        <f>H14*假设及结论!$F$13</f>
        <v>0</v>
      </c>
      <c r="I15" s="46">
        <f>I14*假设及结论!$F$13</f>
        <v>0</v>
      </c>
      <c r="J15" s="46">
        <f>J14*假设及结论!$F$13</f>
        <v>0</v>
      </c>
      <c r="K15" s="46">
        <f>K14*假设及结论!$F$13</f>
        <v>0</v>
      </c>
      <c r="L15" s="46">
        <f>L14*假设及结论!$F$13</f>
        <v>0</v>
      </c>
      <c r="M15" s="46">
        <f>M14*假设及结论!$F$13</f>
        <v>0</v>
      </c>
      <c r="N15" s="46">
        <f>N14*假设及结论!$F$13</f>
        <v>0</v>
      </c>
      <c r="O15" s="46">
        <f>O14*假设及结论!$F$13</f>
        <v>0</v>
      </c>
      <c r="P15" s="46">
        <f>P14*假设及结论!$F$13</f>
        <v>0</v>
      </c>
      <c r="Q15" s="46">
        <f>Q14*假设及结论!$F$13</f>
        <v>0</v>
      </c>
      <c r="R15" s="46">
        <f>R14*假设及结论!$F$13</f>
        <v>0</v>
      </c>
      <c r="S15" s="46">
        <f>S14*假设及结论!$F$13</f>
        <v>0</v>
      </c>
      <c r="T15" s="46">
        <f>T14*假设及结论!$F$13</f>
        <v>0</v>
      </c>
      <c r="U15" s="46">
        <f>U14*假设及结论!$F$13</f>
        <v>0</v>
      </c>
      <c r="V15" s="46">
        <f>V14*假设及结论!$F$13</f>
        <v>0</v>
      </c>
      <c r="W15" s="46">
        <f>W14*假设及结论!$F$13</f>
        <v>0</v>
      </c>
      <c r="X15" s="46">
        <f>X14*假设及结论!$F$13</f>
        <v>0</v>
      </c>
      <c r="Y15" s="46">
        <f>Y14*假设及结论!$F$13</f>
        <v>0</v>
      </c>
      <c r="Z15" s="46">
        <f>Z14*假设及结论!$F$13</f>
        <v>0</v>
      </c>
      <c r="AA15" s="46">
        <f>AA14*假设及结论!$F$13</f>
        <v>0</v>
      </c>
      <c r="AB15" s="46">
        <f>AB14*假设及结论!$F$13</f>
        <v>0</v>
      </c>
      <c r="AC15" s="46">
        <f>AC14*假设及结论!$F$13</f>
        <v>0</v>
      </c>
      <c r="AD15" s="46">
        <f>AD14*假设及结论!$F$13</f>
        <v>0</v>
      </c>
    </row>
    <row r="16" s="56" customFormat="1" spans="1:30">
      <c r="A16" s="47" t="s">
        <v>183</v>
      </c>
      <c r="B16" s="149" t="str">
        <f>假设及结论!O13&amp;"小时市场化交易收入"</f>
        <v>0小时市场化交易收入</v>
      </c>
      <c r="C16" s="150"/>
      <c r="D16" s="156"/>
      <c r="E16" s="151">
        <f>IF(E13-1&lt;假设及结论!$F$15,0,IF(E13-1-假设及结论!$F$15&lt;=假设及结论!$G$15,E17*E19,0))</f>
        <v>0</v>
      </c>
      <c r="F16" s="151">
        <f>IF(F13-1&lt;假设及结论!$F$15,0,IF(F13-1-假设及结论!$F$15&lt;=假设及结论!$G$15,F17*F19,0))</f>
        <v>0</v>
      </c>
      <c r="G16" s="151">
        <f>IF(G13-1&lt;假设及结论!$F$15,0,IF(G13-1-假设及结论!$F$15&lt;=假设及结论!$G$15,G17*G19,0))</f>
        <v>0</v>
      </c>
      <c r="H16" s="151">
        <f>IF(H13-1&lt;假设及结论!$F$15,0,IF(H13-1-假设及结论!$F$15&lt;=假设及结论!$G$15,H17*H19,0))</f>
        <v>0</v>
      </c>
      <c r="I16" s="151">
        <f>IF(I13-1&lt;假设及结论!$F$15,0,IF(I13-1-假设及结论!$F$15&lt;=假设及结论!$G$15,I17*I19,0))</f>
        <v>0</v>
      </c>
      <c r="J16" s="151">
        <f>IF(J13-1&lt;假设及结论!$F$15,0,IF(J13-1-假设及结论!$F$15&lt;=假设及结论!$G$15,J17*J19,0))</f>
        <v>0</v>
      </c>
      <c r="K16" s="151">
        <f>IF(K13-1&lt;假设及结论!$F$15,0,IF(K13-1-假设及结论!$F$15&lt;=假设及结论!$G$15,K17*K19,0))</f>
        <v>0</v>
      </c>
      <c r="L16" s="151">
        <f>IF(L13-1&lt;假设及结论!$F$15,0,IF(L13-1-假设及结论!$F$15&lt;=假设及结论!$G$15,L17*L19,0))</f>
        <v>0</v>
      </c>
      <c r="M16" s="151">
        <f>IF(M13-1&lt;假设及结论!$F$15,0,IF(M13-1-假设及结论!$F$15&lt;=假设及结论!$G$15,M17*M19,0))</f>
        <v>0</v>
      </c>
      <c r="N16" s="151">
        <f>IF(N13-1&lt;假设及结论!$F$15,0,IF(N13-1-假设及结论!$F$15&lt;=假设及结论!$G$15,N17*N19,0))</f>
        <v>0</v>
      </c>
      <c r="O16" s="151">
        <f>IF(O13-1&lt;假设及结论!$F$15,0,IF(O13-1-假设及结论!$F$15&lt;=假设及结论!$G$15,O17*O19,0))</f>
        <v>0</v>
      </c>
      <c r="P16" s="151">
        <f>IF(P13-1&lt;假设及结论!$F$15,0,IF(P13-1-假设及结论!$F$15&lt;=假设及结论!$G$15,P17*P19,0))</f>
        <v>0</v>
      </c>
      <c r="Q16" s="151">
        <f>IF(Q13-1&lt;假设及结论!$F$15,0,IF(Q13-1-假设及结论!$F$15&lt;=假设及结论!$G$15,Q17*Q19,0))</f>
        <v>0</v>
      </c>
      <c r="R16" s="151">
        <f>IF(R13-1&lt;假设及结论!$F$15,0,IF(R13-1-假设及结论!$F$15&lt;=假设及结论!$G$15,R17*R19,0))</f>
        <v>0</v>
      </c>
      <c r="S16" s="151">
        <f>IF(S13-1&lt;假设及结论!$F$15,0,IF(S13-1-假设及结论!$F$15&lt;=假设及结论!$G$15,S17*S19,0))</f>
        <v>0</v>
      </c>
      <c r="T16" s="151">
        <f>IF(T13-1&lt;假设及结论!$F$15,0,IF(T13-1-假设及结论!$F$15&lt;=假设及结论!$G$15,T17*T19,0))</f>
        <v>0</v>
      </c>
      <c r="U16" s="151">
        <f>IF(U13-1&lt;假设及结论!$F$15,0,IF(U13-1-假设及结论!$F$15&lt;=假设及结论!$G$15,U17*U19,0))</f>
        <v>0</v>
      </c>
      <c r="V16" s="151">
        <f>IF(V13-1&lt;假设及结论!$F$15,0,IF(V13-1-假设及结论!$F$15&lt;=假设及结论!$G$15,V17*V19,0))</f>
        <v>0</v>
      </c>
      <c r="W16" s="151">
        <f>IF(W13-1&lt;假设及结论!$F$15,0,IF(W13-1-假设及结论!$F$15&lt;=假设及结论!$G$15,W17*W19,0))</f>
        <v>0</v>
      </c>
      <c r="X16" s="151">
        <f>IF(X13-1&lt;假设及结论!$F$15,0,IF(X13-1-假设及结论!$F$15&lt;=假设及结论!$G$15,X17*X19,0))</f>
        <v>0</v>
      </c>
      <c r="Y16" s="151">
        <f>IF(Y13-1&lt;假设及结论!$F$15,0,IF(Y13-1-假设及结论!$F$15&lt;=假设及结论!$G$15,Y17*Y19,0))</f>
        <v>0</v>
      </c>
      <c r="Z16" s="151">
        <f>IF(Z13-1&lt;假设及结论!$F$15,0,IF(Z13-1-假设及结论!$F$15&lt;=假设及结论!$G$15,Z17*Z19,0))</f>
        <v>0</v>
      </c>
      <c r="AA16" s="151">
        <f>IF(AA13-1&lt;假设及结论!$F$15,0,IF(AA13-1-假设及结论!$F$15&lt;=假设及结论!$G$15,AA17*AA19,0))</f>
        <v>0</v>
      </c>
      <c r="AB16" s="151">
        <f>IF(AB13-1&lt;假设及结论!$F$15,0,IF(AB13-1-假设及结论!$F$15&lt;=假设及结论!$G$15,AB17*AB19,0))</f>
        <v>0</v>
      </c>
      <c r="AC16" s="151">
        <f>IF(AC13-1&lt;假设及结论!$F$15,0,IF(AC13-1-假设及结论!$F$15&lt;=假设及结论!$G$15,AC17*AC19,0))</f>
        <v>0</v>
      </c>
      <c r="AD16" s="151">
        <f>IF(AD13-1&lt;假设及结论!$F$15,0,IF(AD13-1-假设及结论!$F$15&lt;=假设及结论!$G$15,AD17*AD19,0))</f>
        <v>0</v>
      </c>
    </row>
    <row r="17" s="56" customFormat="1" spans="1:30">
      <c r="A17" s="47"/>
      <c r="B17" s="152" t="str">
        <f>假设及结论!O13&amp;"小时市场化交易电价(元/kWh)"</f>
        <v>0小时市场化交易电价(元/kWh)</v>
      </c>
      <c r="C17" s="153"/>
      <c r="D17" s="154"/>
      <c r="E17" s="155">
        <f>IF(E18=0,0,IF(假设及结论!$Q$7="NO",假设及结论!$O$15,假设及结论!$O$15/(1+假设及结论!$H$30+假设及结论!$K$30)))</f>
        <v>0</v>
      </c>
      <c r="F17" s="155">
        <f>IF(F18=0,0,IF(假设及结论!$Q$7="NO",假设及结论!$O$15,假设及结论!$O$15/(1+假设及结论!$H$30+假设及结论!$K$30)))</f>
        <v>0</v>
      </c>
      <c r="G17" s="155">
        <f>IF(G18=0,0,IF(假设及结论!$Q$7="NO",假设及结论!$O$15,假设及结论!$O$15/(1+假设及结论!$H$30+假设及结论!$K$30)))</f>
        <v>0</v>
      </c>
      <c r="H17" s="155">
        <f>IF(H18=0,0,IF(假设及结论!$Q$7="NO",假设及结论!$O$15,假设及结论!$O$15/(1+假设及结论!$H$30+假设及结论!$K$30)))</f>
        <v>0</v>
      </c>
      <c r="I17" s="155">
        <f>IF(I18=0,0,IF(假设及结论!$Q$7="NO",假设及结论!$O$15,假设及结论!$O$15/(1+假设及结论!$H$30+假设及结论!$K$30)))</f>
        <v>0</v>
      </c>
      <c r="J17" s="155">
        <f>IF(J18=0,0,IF(假设及结论!$Q$7="NO",假设及结论!$O$15,假设及结论!$O$15/(1+假设及结论!$H$30+假设及结论!$K$30)))</f>
        <v>0</v>
      </c>
      <c r="K17" s="155">
        <f>IF(K18=0,0,IF(假设及结论!$Q$7="NO",假设及结论!$O$15,假设及结论!$O$15/(1+假设及结论!$H$30+假设及结论!$K$30)))</f>
        <v>0</v>
      </c>
      <c r="L17" s="155">
        <f>IF(L18=0,0,IF(假设及结论!$Q$7="NO",假设及结论!$O$15,假设及结论!$O$15/(1+假设及结论!$H$30+假设及结论!$K$30)))</f>
        <v>0</v>
      </c>
      <c r="M17" s="155">
        <f>IF(M18=0,0,IF(假设及结论!$Q$7="NO",假设及结论!$O$15,假设及结论!$O$15/(1+假设及结论!$H$30+假设及结论!$K$30)))</f>
        <v>0</v>
      </c>
      <c r="N17" s="155">
        <f>IF(N18=0,0,IF(假设及结论!$Q$7="NO",假设及结论!$O$15,假设及结论!$O$15/(1+假设及结论!$H$30+假设及结论!$K$30)))</f>
        <v>0</v>
      </c>
      <c r="O17" s="155">
        <f>IF(O18=0,0,IF(假设及结论!$Q$7="NO",假设及结论!$O$15,假设及结论!$O$15/(1+假设及结论!$H$30+假设及结论!$K$30)))</f>
        <v>0</v>
      </c>
      <c r="P17" s="155">
        <f>IF(P18=0,0,IF(假设及结论!$Q$7="NO",假设及结论!$O$15,假设及结论!$O$15/(1+假设及结论!$H$30+假设及结论!$K$30)))</f>
        <v>0</v>
      </c>
      <c r="Q17" s="155">
        <f>IF(Q18=0,0,IF(假设及结论!$Q$7="NO",假设及结论!$O$15,假设及结论!$O$15/(1+假设及结论!$H$30+假设及结论!$K$30)))</f>
        <v>0</v>
      </c>
      <c r="R17" s="155">
        <f>IF(R18=0,0,IF(假设及结论!$Q$7="NO",假设及结论!$O$15,假设及结论!$O$15/(1+假设及结论!$H$30+假设及结论!$K$30)))</f>
        <v>0</v>
      </c>
      <c r="S17" s="155">
        <f>IF(S18=0,0,IF(假设及结论!$Q$7="NO",假设及结论!$O$15,假设及结论!$O$15/(1+假设及结论!$H$30+假设及结论!$K$30)))</f>
        <v>0</v>
      </c>
      <c r="T17" s="155">
        <f>IF(T18=0,0,IF(假设及结论!$Q$7="NO",假设及结论!$O$15,假设及结论!$O$15/(1+假设及结论!$H$30+假设及结论!$K$30)))</f>
        <v>0</v>
      </c>
      <c r="U17" s="155">
        <f>IF(U18=0,0,IF(假设及结论!$Q$7="NO",假设及结论!$O$15,假设及结论!$O$15/(1+假设及结论!$H$30+假设及结论!$K$30)))</f>
        <v>0</v>
      </c>
      <c r="V17" s="155">
        <f>IF(V18=0,0,IF(假设及结论!$Q$7="NO",假设及结论!$O$15,假设及结论!$O$15/(1+假设及结论!$H$30+假设及结论!$K$30)))</f>
        <v>0</v>
      </c>
      <c r="W17" s="155">
        <f>IF(W18=0,0,IF(假设及结论!$Q$7="NO",假设及结论!$O$15,假设及结论!$O$15/(1+假设及结论!$H$30+假设及结论!$K$30)))</f>
        <v>0</v>
      </c>
      <c r="X17" s="155">
        <f>IF(X18=0,0,IF(假设及结论!$Q$7="NO",假设及结论!$O$15,假设及结论!$O$15/(1+假设及结论!$H$30+假设及结论!$K$30)))</f>
        <v>0</v>
      </c>
      <c r="Y17" s="155">
        <f>IF(Y18=0,0,IF(假设及结论!$Q$7="NO",假设及结论!$O$15,假设及结论!$O$15/(1+假设及结论!$H$30+假设及结论!$K$30)))</f>
        <v>0</v>
      </c>
      <c r="Z17" s="155">
        <f>IF(Z18=0,0,IF(假设及结论!$Q$7="NO",假设及结论!$O$15,假设及结论!$O$15/(1+假设及结论!$H$30+假设及结论!$K$30)))</f>
        <v>0</v>
      </c>
      <c r="AA17" s="155">
        <f>IF(AA18=0,0,IF(假设及结论!$Q$7="NO",假设及结论!$O$15,假设及结论!$O$15/(1+假设及结论!$H$30+假设及结论!$K$30)))</f>
        <v>0</v>
      </c>
      <c r="AB17" s="155">
        <f>IF(AB18=0,0,IF(假设及结论!$Q$7="NO",假设及结论!$O$15,假设及结论!$O$15/(1+假设及结论!$H$30+假设及结论!$K$30)))</f>
        <v>0</v>
      </c>
      <c r="AC17" s="155">
        <f>IF(AC18=0,0,IF(假设及结论!$Q$7="NO",假设及结论!$O$15,假设及结论!$O$15/(1+假设及结论!$H$30+假设及结论!$K$30)))</f>
        <v>0</v>
      </c>
      <c r="AD17" s="155">
        <f>IF(AD18=0,0,IF(假设及结论!$Q$7="NO",假设及结论!$O$15,假设及结论!$O$15/(1+假设及结论!$H$30+假设及结论!$K$30)))</f>
        <v>0</v>
      </c>
    </row>
    <row r="18" s="56" customFormat="1" spans="1:30">
      <c r="A18" s="47"/>
      <c r="B18" s="152" t="str">
        <f>假设及结论!O13&amp;"小时市场化交易小时数"</f>
        <v>0小时市场化交易小时数</v>
      </c>
      <c r="C18" s="148">
        <f t="shared" si="2"/>
        <v>0</v>
      </c>
      <c r="D18" s="46"/>
      <c r="E18" s="46">
        <f>IF(E5&lt;=ConstructPeriod,0,IF(E5-ConstructPeriod&lt;=OperationPeriod,假设及结论!$O$13,0))</f>
        <v>0</v>
      </c>
      <c r="F18" s="46">
        <f>IF(F5&lt;=ConstructPeriod,0,IF(F5-ConstructPeriod&lt;=OperationPeriod,假设及结论!$O$13,0)*(1-假设及结论!$N$21))</f>
        <v>0</v>
      </c>
      <c r="G18" s="46">
        <f>IF(G5&lt;=ConstructPeriod,0,IF(G5-ConstructPeriod&lt;=OperationPeriod,假设及结论!$O$13,0)*(1-假设及结论!$N$21-假设及结论!$O$21*(G5-3)))</f>
        <v>0</v>
      </c>
      <c r="H18" s="46">
        <f>IF(H5&lt;=ConstructPeriod,0,IF(H5-ConstructPeriod&lt;=OperationPeriod,假设及结论!$O$13,0)*(1-假设及结论!$N$21-假设及结论!$O$21*(H5-3)))</f>
        <v>0</v>
      </c>
      <c r="I18" s="46">
        <f>IF(I5&lt;=ConstructPeriod,0,IF(I5-ConstructPeriod&lt;=OperationPeriod,假设及结论!$O$13,0)*(1-假设及结论!$N$21-假设及结论!$O$21*(I5-3)))</f>
        <v>0</v>
      </c>
      <c r="J18" s="46">
        <f>IF(J5&lt;=ConstructPeriod,0,IF(J5-ConstructPeriod&lt;=OperationPeriod,假设及结论!$O$13,0)*(1-假设及结论!$N$21-假设及结论!$O$21*(J5-3)))</f>
        <v>0</v>
      </c>
      <c r="K18" s="46">
        <f>IF(K5&lt;=ConstructPeriod,0,IF(K5-ConstructPeriod&lt;=OperationPeriod,假设及结论!$O$13,0)*(1-假设及结论!$N$21-假设及结论!$O$21*(K5-3)))</f>
        <v>0</v>
      </c>
      <c r="L18" s="46">
        <f>IF(L5&lt;=ConstructPeriod,0,IF(L5-ConstructPeriod&lt;=OperationPeriod,假设及结论!$O$13,0)*(1-假设及结论!$N$21-假设及结论!$O$21*(L5-3)))</f>
        <v>0</v>
      </c>
      <c r="M18" s="46">
        <f>IF(M5&lt;=ConstructPeriod,0,IF(M5-ConstructPeriod&lt;=OperationPeriod,假设及结论!$O$13,0)*(1-假设及结论!$N$21-假设及结论!$O$21*(M5-3)))</f>
        <v>0</v>
      </c>
      <c r="N18" s="46">
        <f>IF(N5&lt;=ConstructPeriod,0,IF(N5-ConstructPeriod&lt;=OperationPeriod,假设及结论!$O$13,0)*(1-假设及结论!$N$21-假设及结论!$O$21*(N5-3)))</f>
        <v>0</v>
      </c>
      <c r="O18" s="46">
        <f>IF(O5&lt;=ConstructPeriod,0,IF(O5-ConstructPeriod&lt;=OperationPeriod,假设及结论!$O$13,0)*(1-假设及结论!$N$21-假设及结论!$O$21*(O5-3)))</f>
        <v>0</v>
      </c>
      <c r="P18" s="46">
        <f>IF(P5&lt;=ConstructPeriod,0,IF(P5-ConstructPeriod&lt;=OperationPeriod,假设及结论!$O$13,0)*(1-假设及结论!$N$21-假设及结论!$O$21*(P5-3)))</f>
        <v>0</v>
      </c>
      <c r="Q18" s="46">
        <f>IF(Q5&lt;=ConstructPeriod,0,IF(Q5-ConstructPeriod&lt;=OperationPeriod,假设及结论!$O$13,0)*(1-假设及结论!$N$21-假设及结论!$O$21*(Q5-3)))</f>
        <v>0</v>
      </c>
      <c r="R18" s="46">
        <f>IF(R5&lt;=ConstructPeriod,0,IF(R5-ConstructPeriod&lt;=OperationPeriod,假设及结论!$O$13,0)*(1-假设及结论!$N$21-假设及结论!$O$21*(R5-3)))</f>
        <v>0</v>
      </c>
      <c r="S18" s="46">
        <f>IF(S5&lt;=ConstructPeriod,0,IF(S5-ConstructPeriod&lt;=OperationPeriod,假设及结论!$O$13,0)*(1-假设及结论!$N$21-假设及结论!$O$21*(S5-3)))</f>
        <v>0</v>
      </c>
      <c r="T18" s="46">
        <f>IF(T5&lt;=ConstructPeriod,0,IF(T5-ConstructPeriod&lt;=OperationPeriod,假设及结论!$O$13,0)*(1-假设及结论!$N$21-假设及结论!$O$21*(T5-3)))</f>
        <v>0</v>
      </c>
      <c r="U18" s="46">
        <f>IF(U5&lt;=ConstructPeriod,0,IF(U5-ConstructPeriod&lt;=OperationPeriod,假设及结论!$O$13,0)*(1-假设及结论!$N$21-假设及结论!$O$21*(U5-3)))</f>
        <v>0</v>
      </c>
      <c r="V18" s="46">
        <f>IF(V5&lt;=ConstructPeriod,0,IF(V5-ConstructPeriod&lt;=OperationPeriod,假设及结论!$O$13,0)*(1-假设及结论!$N$21-假设及结论!$O$21*(V5-3)))</f>
        <v>0</v>
      </c>
      <c r="W18" s="46">
        <f>IF(W5&lt;=ConstructPeriod,0,IF(W5-ConstructPeriod&lt;=OperationPeriod,假设及结论!$O$13,0)*(1-假设及结论!$N$21-假设及结论!$O$21*(W5-3)))</f>
        <v>0</v>
      </c>
      <c r="X18" s="46">
        <f>IF(X5&lt;=ConstructPeriod,0,IF(X5-ConstructPeriod&lt;=OperationPeriod,假设及结论!$O$13,0)*(1-假设及结论!$N$21-假设及结论!$O$21*(X5-3)))</f>
        <v>0</v>
      </c>
      <c r="Y18" s="46">
        <f>IF(Y5&lt;=ConstructPeriod,0,IF(Y5-ConstructPeriod&lt;=OperationPeriod,假设及结论!$O$13,0)*(1-假设及结论!$N$21-假设及结论!$O$21*(Y5-3)))</f>
        <v>0</v>
      </c>
      <c r="Z18" s="46">
        <f>IF(Z5&lt;=ConstructPeriod,0,IF(Z5-ConstructPeriod&lt;=OperationPeriod,假设及结论!$O$13,0)*(1-假设及结论!$N$21-假设及结论!$O$21*(Z5-3)))</f>
        <v>0</v>
      </c>
      <c r="AA18" s="46">
        <f>IF(AA5&lt;=ConstructPeriod,0,IF(AA5-ConstructPeriod&lt;=OperationPeriod,假设及结论!$O$13,0)*(1-假设及结论!$N$21-假设及结论!$O$21*(AA5-3)))</f>
        <v>0</v>
      </c>
      <c r="AB18" s="46">
        <f>IF(AB5&lt;=ConstructPeriod,0,IF(AB5-ConstructPeriod&lt;=OperationPeriod,假设及结论!$O$13,0)*(1-假设及结论!$N$21-假设及结论!$O$21*(AB5-3)))</f>
        <v>0</v>
      </c>
      <c r="AC18" s="46">
        <f>IF(AC5&lt;=ConstructPeriod,0,IF(AC5-ConstructPeriod&lt;=OperationPeriod,假设及结论!$O$13,0)*(1-假设及结论!$N$21-假设及结论!$O$21*(AC5-3)))</f>
        <v>0</v>
      </c>
      <c r="AD18" s="46">
        <f>IF(AD5&lt;=ConstructPeriod,0,IF(AD5-ConstructPeriod&lt;=OperationPeriod,假设及结论!$O$13,0)*(1-假设及结论!$N$21-假设及结论!$O$21*(AD5-3)))</f>
        <v>0</v>
      </c>
    </row>
    <row r="19" s="56" customFormat="1" spans="1:30">
      <c r="A19" s="47"/>
      <c r="B19" s="152" t="str">
        <f>假设及结论!O13&amp;"小时市场化交易电量"</f>
        <v>0小时市场化交易电量</v>
      </c>
      <c r="C19" s="148">
        <f t="shared" si="2"/>
        <v>0</v>
      </c>
      <c r="D19" s="46"/>
      <c r="E19" s="46">
        <f>E18*假设及结论!$F$13</f>
        <v>0</v>
      </c>
      <c r="F19" s="46">
        <f>F18*假设及结论!$F$13</f>
        <v>0</v>
      </c>
      <c r="G19" s="46">
        <f>G18*假设及结论!$F$13</f>
        <v>0</v>
      </c>
      <c r="H19" s="46">
        <f>H18*假设及结论!$F$13</f>
        <v>0</v>
      </c>
      <c r="I19" s="46">
        <f>I18*假设及结论!$F$13</f>
        <v>0</v>
      </c>
      <c r="J19" s="46">
        <f>J18*假设及结论!$F$13</f>
        <v>0</v>
      </c>
      <c r="K19" s="46">
        <f>K18*假设及结论!$F$13</f>
        <v>0</v>
      </c>
      <c r="L19" s="46">
        <f>L18*假设及结论!$F$13</f>
        <v>0</v>
      </c>
      <c r="M19" s="46">
        <f>M18*假设及结论!$F$13</f>
        <v>0</v>
      </c>
      <c r="N19" s="46">
        <f>N18*假设及结论!$F$13</f>
        <v>0</v>
      </c>
      <c r="O19" s="46">
        <f>O18*假设及结论!$F$13</f>
        <v>0</v>
      </c>
      <c r="P19" s="46">
        <f>P18*假设及结论!$F$13</f>
        <v>0</v>
      </c>
      <c r="Q19" s="46">
        <f>Q18*假设及结论!$F$13</f>
        <v>0</v>
      </c>
      <c r="R19" s="46">
        <f>R18*假设及结论!$F$13</f>
        <v>0</v>
      </c>
      <c r="S19" s="46">
        <f>S18*假设及结论!$F$13</f>
        <v>0</v>
      </c>
      <c r="T19" s="46">
        <f>T18*假设及结论!$F$13</f>
        <v>0</v>
      </c>
      <c r="U19" s="46">
        <f>U18*假设及结论!$F$13</f>
        <v>0</v>
      </c>
      <c r="V19" s="46">
        <f>V18*假设及结论!$F$13</f>
        <v>0</v>
      </c>
      <c r="W19" s="46">
        <f>W18*假设及结论!$F$13</f>
        <v>0</v>
      </c>
      <c r="X19" s="46">
        <f>X18*假设及结论!$F$13</f>
        <v>0</v>
      </c>
      <c r="Y19" s="46">
        <f>Y18*假设及结论!$F$13</f>
        <v>0</v>
      </c>
      <c r="Z19" s="46">
        <f>Z18*假设及结论!$F$13</f>
        <v>0</v>
      </c>
      <c r="AA19" s="46">
        <f>AA18*假设及结论!$F$13</f>
        <v>0</v>
      </c>
      <c r="AB19" s="46">
        <f>AB18*假设及结论!$F$13</f>
        <v>0</v>
      </c>
      <c r="AC19" s="46">
        <f>AC18*假设及结论!$F$13</f>
        <v>0</v>
      </c>
      <c r="AD19" s="46">
        <f>AD18*假设及结论!$F$13</f>
        <v>0</v>
      </c>
    </row>
    <row r="20" s="56" customFormat="1" spans="1:30">
      <c r="A20" s="47" t="s">
        <v>1384</v>
      </c>
      <c r="B20" s="149" t="s">
        <v>1385</v>
      </c>
      <c r="C20" s="150"/>
      <c r="D20" s="151"/>
      <c r="E20" s="151">
        <f t="shared" ref="E20:AD20" si="3">E21*E22/10</f>
        <v>0</v>
      </c>
      <c r="F20" s="151">
        <f t="shared" si="3"/>
        <v>0</v>
      </c>
      <c r="G20" s="151">
        <f t="shared" si="3"/>
        <v>0</v>
      </c>
      <c r="H20" s="151">
        <f t="shared" si="3"/>
        <v>0</v>
      </c>
      <c r="I20" s="151">
        <f t="shared" si="3"/>
        <v>0</v>
      </c>
      <c r="J20" s="151">
        <f t="shared" si="3"/>
        <v>0</v>
      </c>
      <c r="K20" s="151">
        <f t="shared" si="3"/>
        <v>0</v>
      </c>
      <c r="L20" s="151">
        <f t="shared" si="3"/>
        <v>0</v>
      </c>
      <c r="M20" s="151">
        <f t="shared" si="3"/>
        <v>0</v>
      </c>
      <c r="N20" s="151">
        <f t="shared" si="3"/>
        <v>0</v>
      </c>
      <c r="O20" s="151">
        <f t="shared" si="3"/>
        <v>0</v>
      </c>
      <c r="P20" s="151">
        <f t="shared" si="3"/>
        <v>0</v>
      </c>
      <c r="Q20" s="151">
        <f t="shared" si="3"/>
        <v>0</v>
      </c>
      <c r="R20" s="151">
        <f t="shared" si="3"/>
        <v>0</v>
      </c>
      <c r="S20" s="151">
        <f t="shared" si="3"/>
        <v>0</v>
      </c>
      <c r="T20" s="151">
        <f t="shared" si="3"/>
        <v>0</v>
      </c>
      <c r="U20" s="151">
        <f t="shared" si="3"/>
        <v>0</v>
      </c>
      <c r="V20" s="151">
        <f t="shared" si="3"/>
        <v>0</v>
      </c>
      <c r="W20" s="151">
        <f t="shared" si="3"/>
        <v>0</v>
      </c>
      <c r="X20" s="151">
        <f t="shared" si="3"/>
        <v>0</v>
      </c>
      <c r="Y20" s="151">
        <f t="shared" si="3"/>
        <v>0</v>
      </c>
      <c r="Z20" s="151">
        <f t="shared" si="3"/>
        <v>0</v>
      </c>
      <c r="AA20" s="151">
        <f t="shared" si="3"/>
        <v>0</v>
      </c>
      <c r="AB20" s="151">
        <f t="shared" si="3"/>
        <v>0</v>
      </c>
      <c r="AC20" s="151">
        <f t="shared" si="3"/>
        <v>0</v>
      </c>
      <c r="AD20" s="151">
        <f t="shared" si="3"/>
        <v>0</v>
      </c>
    </row>
    <row r="21" s="56" customFormat="1" spans="1:30">
      <c r="A21" s="47"/>
      <c r="B21" s="152" t="s">
        <v>1386</v>
      </c>
      <c r="C21" s="148"/>
      <c r="D21" s="46"/>
      <c r="E21" s="157">
        <f>IF(E25=0,0,IF(假设及结论!$Q$7="NO",假设及结论!$Q$18,假设及结论!$Q$18/(1+假设及结论!$H$30+假设及结论!$K$30)))</f>
        <v>0</v>
      </c>
      <c r="F21" s="157">
        <f>IF(F25=0,0,IF(假设及结论!$Q$7="NO",假设及结论!$Q$18,假设及结论!$Q$18/(1+假设及结论!$H$30+假设及结论!$K$30)))</f>
        <v>0</v>
      </c>
      <c r="G21" s="157">
        <f>IF(G25=0,0,IF(假设及结论!$Q$7="NO",假设及结论!$Q$18,假设及结论!$Q$18/(1+假设及结论!$H$30+假设及结论!$K$30)))</f>
        <v>0</v>
      </c>
      <c r="H21" s="157">
        <f>IF(H25=0,0,IF(假设及结论!$Q$7="NO",假设及结论!$Q$18,假设及结论!$Q$18/(1+假设及结论!$H$30+假设及结论!$K$30)))</f>
        <v>0</v>
      </c>
      <c r="I21" s="157">
        <f>IF(I25=0,0,IF(假设及结论!$Q$7="NO",假设及结论!$Q$18,假设及结论!$Q$18/(1+假设及结论!$H$30+假设及结论!$K$30)))</f>
        <v>0</v>
      </c>
      <c r="J21" s="157">
        <f>IF(J25=0,0,IF(假设及结论!$Q$7="NO",假设及结论!$Q$18,假设及结论!$Q$18/(1+假设及结论!$H$30+假设及结论!$K$30)))</f>
        <v>0</v>
      </c>
      <c r="K21" s="157">
        <f>IF(K25=0,0,IF(假设及结论!$Q$7="NO",假设及结论!$Q$18,假设及结论!$Q$18/(1+假设及结论!$H$30+假设及结论!$K$30)))</f>
        <v>0</v>
      </c>
      <c r="L21" s="157">
        <f>IF(L25=0,0,IF(假设及结论!$Q$7="NO",假设及结论!$Q$18,假设及结论!$Q$18/(1+假设及结论!$H$30+假设及结论!$K$30)))</f>
        <v>0</v>
      </c>
      <c r="M21" s="157">
        <f>IF(M25=0,0,IF(假设及结论!$Q$7="NO",假设及结论!$Q$18,假设及结论!$Q$18/(1+假设及结论!$H$30+假设及结论!$K$30)))</f>
        <v>0</v>
      </c>
      <c r="N21" s="157">
        <f>IF(N25=0,0,IF(假设及结论!$Q$7="NO",假设及结论!$Q$18,假设及结论!$Q$18/(1+假设及结论!$H$30+假设及结论!$K$30)))</f>
        <v>0</v>
      </c>
      <c r="O21" s="157">
        <f>IF(O25=0,0,IF(假设及结论!$Q$7="NO",假设及结论!$Q$18,假设及结论!$Q$18/(1+假设及结论!$H$30+假设及结论!$K$30)))</f>
        <v>0</v>
      </c>
      <c r="P21" s="157">
        <f>IF(P25=0,0,IF(假设及结论!$Q$7="NO",假设及结论!$Q$18,假设及结论!$Q$18/(1+假设及结论!$H$30+假设及结论!$K$30)))</f>
        <v>0</v>
      </c>
      <c r="Q21" s="157">
        <f>IF(Q25=0,0,IF(假设及结论!$Q$7="NO",假设及结论!$Q$18,假设及结论!$Q$18/(1+假设及结论!$H$30+假设及结论!$K$30)))</f>
        <v>0</v>
      </c>
      <c r="R21" s="157">
        <f>IF(R25=0,0,IF(假设及结论!$Q$7="NO",假设及结论!$Q$18,假设及结论!$Q$18/(1+假设及结论!$H$30+假设及结论!$K$30)))</f>
        <v>0</v>
      </c>
      <c r="S21" s="157">
        <f>IF(S25=0,0,IF(假设及结论!$Q$7="NO",假设及结论!$Q$18,假设及结论!$Q$18/(1+假设及结论!$H$30+假设及结论!$K$30)))</f>
        <v>0</v>
      </c>
      <c r="T21" s="157">
        <f>IF(T25=0,0,IF(假设及结论!$Q$7="NO",假设及结论!$Q$18,假设及结论!$Q$18/(1+假设及结论!$H$30+假设及结论!$K$30)))</f>
        <v>0</v>
      </c>
      <c r="U21" s="157">
        <f>IF(U25=0,0,IF(假设及结论!$Q$7="NO",假设及结论!$Q$18,假设及结论!$Q$18/(1+假设及结论!$H$30+假设及结论!$K$30)))</f>
        <v>0</v>
      </c>
      <c r="V21" s="157">
        <f>IF(V25=0,0,IF(假设及结论!$Q$7="NO",假设及结论!$Q$18,假设及结论!$Q$18/(1+假设及结论!$H$30+假设及结论!$K$30)))</f>
        <v>0</v>
      </c>
      <c r="W21" s="157">
        <f>IF(W25=0,0,IF(假设及结论!$Q$7="NO",假设及结论!$Q$18,假设及结论!$Q$18/(1+假设及结论!$H$30+假设及结论!$K$30)))</f>
        <v>0</v>
      </c>
      <c r="X21" s="157">
        <f>IF(X25=0,0,IF(假设及结论!$Q$7="NO",假设及结论!$Q$18,假设及结论!$Q$18/(1+假设及结论!$H$30+假设及结论!$K$30)))</f>
        <v>0</v>
      </c>
      <c r="Y21" s="157">
        <f>IF(Y25=0,0,IF(假设及结论!$Q$7="NO",假设及结论!$Q$18,假设及结论!$Q$18/(1+假设及结论!$H$30+假设及结论!$K$30)))</f>
        <v>0</v>
      </c>
      <c r="Z21" s="157">
        <f>IF(Z25=0,0,IF(假设及结论!$Q$7="NO",假设及结论!$Q$18,假设及结论!$Q$18/(1+假设及结论!$H$30+假设及结论!$K$30)))</f>
        <v>0</v>
      </c>
      <c r="AA21" s="157">
        <f>IF(AA25=0,0,IF(假设及结论!$Q$7="NO",假设及结论!$Q$18,假设及结论!$Q$18/(1+假设及结论!$H$30+假设及结论!$K$30)))</f>
        <v>0</v>
      </c>
      <c r="AB21" s="157">
        <f>IF(AB25=0,0,IF(假设及结论!$Q$7="NO",假设及结论!$Q$18,假设及结论!$Q$18/(1+假设及结论!$H$30+假设及结论!$K$30)))</f>
        <v>0</v>
      </c>
      <c r="AC21" s="157">
        <f>IF(AC25=0,0,IF(假设及结论!$Q$7="NO",假设及结论!$Q$18,假设及结论!$Q$18/(1+假设及结论!$H$30+假设及结论!$K$30)))</f>
        <v>0</v>
      </c>
      <c r="AD21" s="157">
        <f>IF(AD25=0,0,IF(假设及结论!$Q$7="NO",假设及结论!$Q$18,假设及结论!$Q$18/(1+假设及结论!$H$30+假设及结论!$K$30)))</f>
        <v>0</v>
      </c>
    </row>
    <row r="22" s="56" customFormat="1" spans="1:30">
      <c r="A22" s="47"/>
      <c r="B22" s="152" t="s">
        <v>1387</v>
      </c>
      <c r="C22" s="148"/>
      <c r="D22" s="46"/>
      <c r="E22" s="46">
        <f>IF(E25=0,0,假设及结论!$P$18*假设及结论!$F$13*假设及结论!$E$18*假设及结论!$D$18*10000)</f>
        <v>191250</v>
      </c>
      <c r="F22" s="46">
        <f>IF(F25=0,0,假设及结论!$P$18*假设及结论!$F$13*假设及结论!$E$18*假设及结论!$D$18*10000)</f>
        <v>191250</v>
      </c>
      <c r="G22" s="46">
        <f>IF(G25=0,0,假设及结论!$P$18*假设及结论!$F$13*假设及结论!$E$18*假设及结论!$D$18*10000)</f>
        <v>191250</v>
      </c>
      <c r="H22" s="46">
        <f>IF(H25=0,0,假设及结论!$P$18*假设及结论!$F$13*假设及结论!$E$18*假设及结论!$D$18*10000)</f>
        <v>191250</v>
      </c>
      <c r="I22" s="46">
        <f>IF(I25=0,0,假设及结论!$P$18*假设及结论!$F$13*假设及结论!$E$18*假设及结论!$D$18*10000)</f>
        <v>191250</v>
      </c>
      <c r="J22" s="46">
        <f>IF(J25=0,0,假设及结论!$P$18*假设及结论!$F$13*假设及结论!$E$18*假设及结论!$D$18*10000)</f>
        <v>191250</v>
      </c>
      <c r="K22" s="46">
        <f>IF(K25=0,0,假设及结论!$P$18*假设及结论!$F$13*假设及结论!$E$18*假设及结论!$D$18*10000)</f>
        <v>191250</v>
      </c>
      <c r="L22" s="46">
        <f>IF(L25=0,0,假设及结论!$P$18*假设及结论!$F$13*假设及结论!$E$18*假设及结论!$D$18*10000)</f>
        <v>191250</v>
      </c>
      <c r="M22" s="46">
        <f>IF(M25=0,0,假设及结论!$P$18*假设及结论!$F$13*假设及结论!$E$18*假设及结论!$D$18*10000)</f>
        <v>191250</v>
      </c>
      <c r="N22" s="46">
        <f>IF(N25=0,0,假设及结论!$P$18*假设及结论!$F$13*假设及结论!$E$18*假设及结论!$D$18*10000)</f>
        <v>191250</v>
      </c>
      <c r="O22" s="46">
        <f>IF(O25=0,0,假设及结论!$P$18*假设及结论!$F$13*假设及结论!$E$18*假设及结论!$D$18*10000)</f>
        <v>191250</v>
      </c>
      <c r="P22" s="46">
        <f>IF(P25=0,0,假设及结论!$P$18*假设及结论!$F$13*假设及结论!$E$18*假设及结论!$D$18*10000)</f>
        <v>191250</v>
      </c>
      <c r="Q22" s="46">
        <f>IF(Q25=0,0,假设及结论!$P$18*假设及结论!$F$13*假设及结论!$E$18*假设及结论!$D$18*10000)</f>
        <v>191250</v>
      </c>
      <c r="R22" s="46">
        <f>IF(R25=0,0,假设及结论!$P$18*假设及结论!$F$13*假设及结论!$E$18*假设及结论!$D$18*10000)</f>
        <v>191250</v>
      </c>
      <c r="S22" s="46">
        <f>IF(S25=0,0,假设及结论!$P$18*假设及结论!$F$13*假设及结论!$E$18*假设及结论!$D$18*10000)</f>
        <v>191250</v>
      </c>
      <c r="T22" s="46">
        <f>IF(T25=0,0,假设及结论!$P$18*假设及结论!$F$13*假设及结论!$E$18*假设及结论!$D$18*10000)</f>
        <v>191250</v>
      </c>
      <c r="U22" s="46">
        <f>IF(U25=0,0,假设及结论!$P$18*假设及结论!$F$13*假设及结论!$E$18*假设及结论!$D$18*10000)</f>
        <v>191250</v>
      </c>
      <c r="V22" s="46">
        <f>IF(V25=0,0,假设及结论!$P$18*假设及结论!$F$13*假设及结论!$E$18*假设及结论!$D$18*10000)</f>
        <v>191250</v>
      </c>
      <c r="W22" s="46">
        <f>IF(W25=0,0,假设及结论!$P$18*假设及结论!$F$13*假设及结论!$E$18*假设及结论!$D$18*10000)</f>
        <v>191250</v>
      </c>
      <c r="X22" s="46">
        <f>IF(X25=0,0,假设及结论!$P$18*假设及结论!$F$13*假设及结论!$E$18*假设及结论!$D$18*10000)</f>
        <v>191250</v>
      </c>
      <c r="Y22" s="46">
        <f>IF(Y25=0,0,假设及结论!$P$18*假设及结论!$F$13*假设及结论!$E$18*假设及结论!$D$18*10000)</f>
        <v>191250</v>
      </c>
      <c r="Z22" s="46">
        <f>IF(Z25=0,0,假设及结论!$P$18*假设及结论!$F$13*假设及结论!$E$18*假设及结论!$D$18*10000)</f>
        <v>191250</v>
      </c>
      <c r="AA22" s="46">
        <f>IF(AA25=0,0,假设及结论!$P$18*假设及结论!$F$13*假设及结论!$E$18*假设及结论!$D$18*10000)</f>
        <v>191250</v>
      </c>
      <c r="AB22" s="46">
        <f>IF(AB25=0,0,假设及结论!$P$18*假设及结论!$F$13*假设及结论!$E$18*假设及结论!$D$18*10000)</f>
        <v>191250</v>
      </c>
      <c r="AC22" s="46">
        <f>IF(AC25=0,0,假设及结论!$P$18*假设及结论!$F$13*假设及结论!$E$18*假设及结论!$D$18*10000)</f>
        <v>191250</v>
      </c>
      <c r="AD22" s="46">
        <f>IF(AD25=0,0,假设及结论!$P$18*假设及结论!$F$13*假设及结论!$E$18*假设及结论!$D$18*10000)</f>
        <v>0</v>
      </c>
    </row>
    <row r="23" s="56" customFormat="1" spans="1:30">
      <c r="A23" s="47" t="s">
        <v>1388</v>
      </c>
      <c r="B23" s="149" t="s">
        <v>1389</v>
      </c>
      <c r="C23" s="150"/>
      <c r="D23" s="156"/>
      <c r="E23" s="151">
        <f>IF(E5-1&lt;假设及结论!$F$15,0,IF(E5-1-假设及结论!$F$15&lt;=假设及结论!$G$15,E24*E25*E26,0)/10)</f>
        <v>2342.8125</v>
      </c>
      <c r="F23" s="151">
        <f>IF(F5-1&lt;假设及结论!$F$15,0,IF(F5-1-假设及结论!$F$15&lt;=假设及结论!$G$15,F24*F25*F26,0)/10)</f>
        <v>2319.384375</v>
      </c>
      <c r="G23" s="151">
        <f>IF(G5-1&lt;假设及结论!$F$15,0,IF(G5-1-假设及结论!$F$15&lt;=假设及结论!$G$15,G24*G25*G26,0)/10)</f>
        <v>2310.013125</v>
      </c>
      <c r="H23" s="151">
        <f>IF(H5-1&lt;假设及结论!$F$15,0,IF(H5-1-假设及结论!$F$15&lt;=假设及结论!$G$15,H24*H25*H26,0)/10)</f>
        <v>2300.641875</v>
      </c>
      <c r="I23" s="151">
        <f>IF(I5-1&lt;假设及结论!$F$15,0,IF(I5-1-假设及结论!$F$15&lt;=假设及结论!$G$15,I24*I25*I26,0)/10)</f>
        <v>2291.270625</v>
      </c>
      <c r="J23" s="151">
        <f>IF(J5-1&lt;假设及结论!$F$15,0,IF(J5-1-假设及结论!$F$15&lt;=假设及结论!$G$15,J24*J25*J26,0)/10)</f>
        <v>2281.899375</v>
      </c>
      <c r="K23" s="151">
        <f>IF(K5-1&lt;假设及结论!$F$15,0,IF(K5-1-假设及结论!$F$15&lt;=假设及结论!$G$15,K24*K25*K26,0)/10)</f>
        <v>2272.528125</v>
      </c>
      <c r="L23" s="151">
        <f>IF(L5-1&lt;假设及结论!$F$15,0,IF(L5-1-假设及结论!$F$15&lt;=假设及结论!$G$15,L24*L25*L26,0)/10)</f>
        <v>2263.156875</v>
      </c>
      <c r="M23" s="151">
        <f>IF(M5-1&lt;假设及结论!$F$15,0,IF(M5-1-假设及结论!$F$15&lt;=假设及结论!$G$15,M24*M25*M26,0)/10)</f>
        <v>2253.785625</v>
      </c>
      <c r="N23" s="151">
        <f>IF(N5-1&lt;假设及结论!$F$15,0,IF(N5-1-假设及结论!$F$15&lt;=假设及结论!$G$15,N24*N25*N26,0)/10)</f>
        <v>2244.414375</v>
      </c>
      <c r="O23" s="151">
        <f>IF(O5-1&lt;假设及结论!$F$15,0,IF(O5-1-假设及结论!$F$15&lt;=假设及结论!$G$15,O24*O25*O26,0)/10)</f>
        <v>2235.043125</v>
      </c>
      <c r="P23" s="151">
        <f>IF(P5-1&lt;假设及结论!$F$15,0,IF(P5-1-假设及结论!$F$15&lt;=假设及结论!$G$15,P24*P25*P26,0)/10)</f>
        <v>2225.671875</v>
      </c>
      <c r="Q23" s="151">
        <f>IF(Q5-1&lt;假设及结论!$F$15,0,IF(Q5-1-假设及结论!$F$15&lt;=假设及结论!$G$15,Q24*Q25*Q26,0)/10)</f>
        <v>2216.300625</v>
      </c>
      <c r="R23" s="151">
        <f>IF(R5-1&lt;假设及结论!$F$15,0,IF(R5-1-假设及结论!$F$15&lt;=假设及结论!$G$15,R24*R25*R26,0)/10)</f>
        <v>2206.929375</v>
      </c>
      <c r="S23" s="151">
        <f>IF(S5-1&lt;假设及结论!$F$15,0,IF(S5-1-假设及结论!$F$15&lt;=假设及结论!$G$15,S24*S25*S26,0)/10)</f>
        <v>2197.558125</v>
      </c>
      <c r="T23" s="151">
        <f>IF(T5-1&lt;假设及结论!$F$15,0,IF(T5-1-假设及结论!$F$15&lt;=假设及结论!$G$15,T24*T25*T26,0)/10)</f>
        <v>2188.186875</v>
      </c>
      <c r="U23" s="151">
        <f>IF(U5-1&lt;假设及结论!$F$15,0,IF(U5-1-假设及结论!$F$15&lt;=假设及结论!$G$15,U24*U25*U26,0)/10)</f>
        <v>2178.815625</v>
      </c>
      <c r="V23" s="151">
        <f>IF(V5-1&lt;假设及结论!$F$15,0,IF(V5-1-假设及结论!$F$15&lt;=假设及结论!$G$15,V24*V25*V26,0)/10)</f>
        <v>2169.444375</v>
      </c>
      <c r="W23" s="151">
        <f>IF(W5-1&lt;假设及结论!$F$15,0,IF(W5-1-假设及结论!$F$15&lt;=假设及结论!$G$15,W24*W25*W26,0)/10)</f>
        <v>2160.073125</v>
      </c>
      <c r="X23" s="151">
        <f>IF(X5-1&lt;假设及结论!$F$15,0,IF(X5-1-假设及结论!$F$15&lt;=假设及结论!$G$15,X24*X25*X26,0)/10)</f>
        <v>2150.701875</v>
      </c>
      <c r="Y23" s="151">
        <f>IF(Y5-1&lt;假设及结论!$F$15,0,IF(Y5-1-假设及结论!$F$15&lt;=假设及结论!$G$15,Y24*Y25*Y26,0)/10)</f>
        <v>2141.330625</v>
      </c>
      <c r="Z23" s="151">
        <f>IF(Z5-1&lt;假设及结论!$F$15,0,IF(Z5-1-假设及结论!$F$15&lt;=假设及结论!$G$15,Z24*Z25*Z26,0)/10)</f>
        <v>2131.959375</v>
      </c>
      <c r="AA23" s="151">
        <f>IF(AA5-1&lt;假设及结论!$F$15,0,IF(AA5-1-假设及结论!$F$15&lt;=假设及结论!$G$15,AA24*AA25*AA26,0)/10)</f>
        <v>2122.588125</v>
      </c>
      <c r="AB23" s="151">
        <f>IF(AB5-1&lt;假设及结论!$F$15,0,IF(AB5-1-假设及结论!$F$15&lt;=假设及结论!$G$15,AB24*AB25*AB26,0)/10)</f>
        <v>2113.216875</v>
      </c>
      <c r="AC23" s="151">
        <f>IF(AC5-1&lt;假设及结论!$F$15,0,IF(AC5-1-假设及结论!$F$15&lt;=假设及结论!$G$15,AC24*AC25*AC26,0)/10)</f>
        <v>2103.845625</v>
      </c>
      <c r="AD23" s="151">
        <f>IF(AD5-1&lt;假设及结论!$F$15,0,IF(AD5-1-假设及结论!$F$15&lt;=假设及结论!$G$15,AD24*AD25*AD26,0)/10)</f>
        <v>0</v>
      </c>
    </row>
    <row r="24" s="56" customFormat="1" spans="1:30">
      <c r="A24" s="47"/>
      <c r="B24" s="152" t="s">
        <v>1390</v>
      </c>
      <c r="C24" s="153"/>
      <c r="D24" s="154"/>
      <c r="E24" s="155">
        <f>IF(E25=0,0,IF(假设及结论!$Q$7="NO",IF(E5-1&gt;假设及结论!$G$15,假设及结论!$J$15,假设及结论!$N$18),IF(E5-1&gt;假设及结论!$G$15,假设及结论!$J$15,假设及结论!$N$18)/(1+假设及结论!$H$30+假设及结论!$K$30)))</f>
        <v>0.35</v>
      </c>
      <c r="F24" s="155">
        <f>IF(F25=0,0,IF(假设及结论!$Q$7="NO",IF(F5-1&gt;假设及结论!$G$15,假设及结论!$J$15,假设及结论!$N$18),IF(F5-1&gt;假设及结论!$G$15,假设及结论!$J$15,假设及结论!$N$18)/(1+假设及结论!$H$30+假设及结论!$K$30)))</f>
        <v>0.35</v>
      </c>
      <c r="G24" s="155">
        <f>IF(G25=0,0,IF(假设及结论!$Q$7="NO",IF(G5-1&gt;假设及结论!$G$15,假设及结论!$J$15,假设及结论!$N$18),IF(G5-1&gt;假设及结论!$G$15,假设及结论!$J$15,假设及结论!$N$18)/(1+假设及结论!$H$30+假设及结论!$K$30)))</f>
        <v>0.35</v>
      </c>
      <c r="H24" s="155">
        <f>IF(H25=0,0,IF(假设及结论!$Q$7="NO",IF(H5-1&gt;假设及结论!$G$15,假设及结论!$J$15,假设及结论!$N$18),IF(H5-1&gt;假设及结论!$G$15,假设及结论!$J$15,假设及结论!$N$18)/(1+假设及结论!$H$30+假设及结论!$K$30)))</f>
        <v>0.35</v>
      </c>
      <c r="I24" s="155">
        <f>IF(I25=0,0,IF(假设及结论!$Q$7="NO",IF(I5-1&gt;假设及结论!$G$15,假设及结论!$J$15,假设及结论!$N$18),IF(I5-1&gt;假设及结论!$G$15,假设及结论!$J$15,假设及结论!$N$18)/(1+假设及结论!$H$30+假设及结论!$K$30)))</f>
        <v>0.35</v>
      </c>
      <c r="J24" s="155">
        <f>IF(J25=0,0,IF(假设及结论!$Q$7="NO",IF(J5-1&gt;假设及结论!$G$15,假设及结论!$J$15,假设及结论!$N$18),IF(J5-1&gt;假设及结论!$G$15,假设及结论!$J$15,假设及结论!$N$18)/(1+假设及结论!$H$30+假设及结论!$K$30)))</f>
        <v>0.35</v>
      </c>
      <c r="K24" s="155">
        <f>IF(K25=0,0,IF(假设及结论!$Q$7="NO",IF(K5-1&gt;假设及结论!$G$15,假设及结论!$J$15,假设及结论!$N$18),IF(K5-1&gt;假设及结论!$G$15,假设及结论!$J$15,假设及结论!$N$18)/(1+假设及结论!$H$30+假设及结论!$K$30)))</f>
        <v>0.35</v>
      </c>
      <c r="L24" s="155">
        <f>IF(L25=0,0,IF(假设及结论!$Q$7="NO",IF(L5-1&gt;假设及结论!$G$15,假设及结论!$J$15,假设及结论!$N$18),IF(L5-1&gt;假设及结论!$G$15,假设及结论!$J$15,假设及结论!$N$18)/(1+假设及结论!$H$30+假设及结论!$K$30)))</f>
        <v>0.35</v>
      </c>
      <c r="M24" s="155">
        <f>IF(M25=0,0,IF(假设及结论!$Q$7="NO",IF(M5-1&gt;假设及结论!$G$15,假设及结论!$J$15,假设及结论!$N$18),IF(M5-1&gt;假设及结论!$G$15,假设及结论!$J$15,假设及结论!$N$18)/(1+假设及结论!$H$30+假设及结论!$K$30)))</f>
        <v>0.35</v>
      </c>
      <c r="N24" s="155">
        <f>IF(N25=0,0,IF(假设及结论!$Q$7="NO",IF(N5-1&gt;假设及结论!$G$15,假设及结论!$J$15,假设及结论!$N$18),IF(N5-1&gt;假设及结论!$G$15,假设及结论!$J$15,假设及结论!$N$18)/(1+假设及结论!$H$30+假设及结论!$K$30)))</f>
        <v>0.35</v>
      </c>
      <c r="O24" s="155">
        <f>IF(O25=0,0,IF(假设及结论!$Q$7="NO",IF(O5-1&gt;假设及结论!$G$15,假设及结论!$J$15,假设及结论!$N$18),IF(O5-1&gt;假设及结论!$G$15,假设及结论!$J$15,假设及结论!$N$18)/(1+假设及结论!$H$30+假设及结论!$K$30)))</f>
        <v>0.35</v>
      </c>
      <c r="P24" s="155">
        <f>IF(P25=0,0,IF(假设及结论!$Q$7="NO",IF(P5-1&gt;假设及结论!$G$15,假设及结论!$J$15,假设及结论!$N$18),IF(P5-1&gt;假设及结论!$G$15,假设及结论!$J$15,假设及结论!$N$18)/(1+假设及结论!$H$30+假设及结论!$K$30)))</f>
        <v>0.35</v>
      </c>
      <c r="Q24" s="155">
        <f>IF(Q25=0,0,IF(假设及结论!$Q$7="NO",IF(Q5-1&gt;假设及结论!$G$15,假设及结论!$J$15,假设及结论!$N$18),IF(Q5-1&gt;假设及结论!$G$15,假设及结论!$J$15,假设及结论!$N$18)/(1+假设及结论!$H$30+假设及结论!$K$30)))</f>
        <v>0.35</v>
      </c>
      <c r="R24" s="155">
        <f>IF(R25=0,0,IF(假设及结论!$Q$7="NO",IF(R5-1&gt;假设及结论!$G$15,假设及结论!$J$15,假设及结论!$N$18),IF(R5-1&gt;假设及结论!$G$15,假设及结论!$J$15,假设及结论!$N$18)/(1+假设及结论!$H$30+假设及结论!$K$30)))</f>
        <v>0.35</v>
      </c>
      <c r="S24" s="155">
        <f>IF(S25=0,0,IF(假设及结论!$Q$7="NO",IF(S5-1&gt;假设及结论!$G$15,假设及结论!$J$15,假设及结论!$N$18),IF(S5-1&gt;假设及结论!$G$15,假设及结论!$J$15,假设及结论!$N$18)/(1+假设及结论!$H$30+假设及结论!$K$30)))</f>
        <v>0.35</v>
      </c>
      <c r="T24" s="155">
        <f>IF(T25=0,0,IF(假设及结论!$Q$7="NO",IF(T5-1&gt;假设及结论!$G$15,假设及结论!$J$15,假设及结论!$N$18),IF(T5-1&gt;假设及结论!$G$15,假设及结论!$J$15,假设及结论!$N$18)/(1+假设及结论!$H$30+假设及结论!$K$30)))</f>
        <v>0.35</v>
      </c>
      <c r="U24" s="155">
        <f>IF(U25=0,0,IF(假设及结论!$Q$7="NO",IF(U5-1&gt;假设及结论!$G$15,假设及结论!$J$15,假设及结论!$N$18),IF(U5-1&gt;假设及结论!$G$15,假设及结论!$J$15,假设及结论!$N$18)/(1+假设及结论!$H$30+假设及结论!$K$30)))</f>
        <v>0.35</v>
      </c>
      <c r="V24" s="155">
        <f>IF(V25=0,0,IF(假设及结论!$Q$7="NO",IF(V5-1&gt;假设及结论!$G$15,假设及结论!$J$15,假设及结论!$N$18),IF(V5-1&gt;假设及结论!$G$15,假设及结论!$J$15,假设及结论!$N$18)/(1+假设及结论!$H$30+假设及结论!$K$30)))</f>
        <v>0.35</v>
      </c>
      <c r="W24" s="155">
        <f>IF(W25=0,0,IF(假设及结论!$Q$7="NO",IF(W5-1&gt;假设及结论!$G$15,假设及结论!$J$15,假设及结论!$N$18),IF(W5-1&gt;假设及结论!$G$15,假设及结论!$J$15,假设及结论!$N$18)/(1+假设及结论!$H$30+假设及结论!$K$30)))</f>
        <v>0.35</v>
      </c>
      <c r="X24" s="155">
        <f>IF(X25=0,0,IF(假设及结论!$Q$7="NO",IF(X5-1&gt;假设及结论!$G$15,假设及结论!$J$15,假设及结论!$N$18),IF(X5-1&gt;假设及结论!$G$15,假设及结论!$J$15,假设及结论!$N$18)/(1+假设及结论!$H$30+假设及结论!$K$30)))</f>
        <v>0.35</v>
      </c>
      <c r="Y24" s="155">
        <f>IF(Y25=0,0,IF(假设及结论!$Q$7="NO",IF(Y5-1&gt;假设及结论!$G$15,假设及结论!$J$15,假设及结论!$N$18),IF(Y5-1&gt;假设及结论!$G$15,假设及结论!$J$15,假设及结论!$N$18)/(1+假设及结论!$H$30+假设及结论!$K$30)))</f>
        <v>0.35</v>
      </c>
      <c r="Z24" s="155">
        <f>IF(Z25=0,0,IF(假设及结论!$Q$7="NO",IF(Z5-1&gt;假设及结论!$G$15,假设及结论!$J$15,假设及结论!$N$18),IF(Z5-1&gt;假设及结论!$G$15,假设及结论!$J$15,假设及结论!$N$18)/(1+假设及结论!$H$30+假设及结论!$K$30)))</f>
        <v>0.35</v>
      </c>
      <c r="AA24" s="155">
        <f>IF(AA25=0,0,IF(假设及结论!$Q$7="NO",IF(AA5-1&gt;假设及结论!$G$15,假设及结论!$J$15,假设及结论!$N$18),IF(AA5-1&gt;假设及结论!$G$15,假设及结论!$J$15,假设及结论!$N$18)/(1+假设及结论!$H$30+假设及结论!$K$30)))</f>
        <v>0.35</v>
      </c>
      <c r="AB24" s="155">
        <f>IF(AB25=0,0,IF(假设及结论!$Q$7="NO",IF(AB5-1&gt;假设及结论!$G$15,假设及结论!$J$15,假设及结论!$N$18),IF(AB5-1&gt;假设及结论!$G$15,假设及结论!$J$15,假设及结论!$N$18)/(1+假设及结论!$H$30+假设及结论!$K$30)))</f>
        <v>0.35</v>
      </c>
      <c r="AC24" s="155">
        <f>IF(AC25=0,0,IF(假设及结论!$Q$7="NO",IF(AC5-1&gt;假设及结论!$G$15,假设及结论!$J$15,假设及结论!$N$18),IF(AC5-1&gt;假设及结论!$G$15,假设及结论!$J$15,假设及结论!$N$18)/(1+假设及结论!$H$30+假设及结论!$K$30)))</f>
        <v>0.35</v>
      </c>
      <c r="AD24" s="155">
        <f>IF(AD25=0,0,IF(假设及结论!$Q$7="NO",IF(AD5-1&gt;假设及结论!$G$15,假设及结论!$J$15,假设及结论!$N$18),IF(AD5-1&gt;假设及结论!$G$15,假设及结论!$J$15,假设及结论!$N$18)/(1+假设及结论!$H$30+假设及结论!$K$30)))</f>
        <v>0</v>
      </c>
    </row>
    <row r="25" s="56" customFormat="1" spans="1:30">
      <c r="A25" s="47"/>
      <c r="B25" s="152" t="s">
        <v>1154</v>
      </c>
      <c r="C25" s="148">
        <f>SUM(E25:AD25)</f>
        <v>8750</v>
      </c>
      <c r="D25" s="46"/>
      <c r="E25" s="46">
        <f>IF(E5&lt;=ConstructPeriod,0,IF(E5-ConstructPeriod&lt;=OperationPeriod,假设及结论!$I$18,0))</f>
        <v>350</v>
      </c>
      <c r="F25" s="46">
        <f>IF(F5&lt;=ConstructPeriod,0,IF(F5-ConstructPeriod&lt;=OperationPeriod,假设及结论!$I$18,0))</f>
        <v>350</v>
      </c>
      <c r="G25" s="46">
        <f>IF(G5&lt;=ConstructPeriod,0,IF(G5-ConstructPeriod&lt;=OperationPeriod,假设及结论!$I$18,0))</f>
        <v>350</v>
      </c>
      <c r="H25" s="46">
        <f>IF(H5&lt;=ConstructPeriod,0,IF(H5-ConstructPeriod&lt;=OperationPeriod,假设及结论!$I$18,0))</f>
        <v>350</v>
      </c>
      <c r="I25" s="46">
        <f>IF(I5&lt;=ConstructPeriod,0,IF(I5-ConstructPeriod&lt;=OperationPeriod,假设及结论!$I$18,0))</f>
        <v>350</v>
      </c>
      <c r="J25" s="46">
        <f>IF(J5&lt;=ConstructPeriod,0,IF(J5-ConstructPeriod&lt;=OperationPeriod,假设及结论!$I$18,0))</f>
        <v>350</v>
      </c>
      <c r="K25" s="46">
        <f>IF(K5&lt;=ConstructPeriod,0,IF(K5-ConstructPeriod&lt;=OperationPeriod,假设及结论!$I$18,0))</f>
        <v>350</v>
      </c>
      <c r="L25" s="46">
        <f>IF(L5&lt;=ConstructPeriod,0,IF(L5-ConstructPeriod&lt;=OperationPeriod,假设及结论!$I$18,0))</f>
        <v>350</v>
      </c>
      <c r="M25" s="46">
        <f>IF(M5&lt;=ConstructPeriod,0,IF(M5-ConstructPeriod&lt;=OperationPeriod,假设及结论!$I$18,0))</f>
        <v>350</v>
      </c>
      <c r="N25" s="46">
        <f>IF(N5&lt;=ConstructPeriod,0,IF(N5-ConstructPeriod&lt;=OperationPeriod,假设及结论!$I$18,0))</f>
        <v>350</v>
      </c>
      <c r="O25" s="46">
        <f>IF(O5&lt;=ConstructPeriod,0,IF(O5-ConstructPeriod&lt;=OperationPeriod,假设及结论!$I$18,0))</f>
        <v>350</v>
      </c>
      <c r="P25" s="46">
        <f>IF(P5&lt;=ConstructPeriod,0,IF(P5-ConstructPeriod&lt;=OperationPeriod,假设及结论!$I$18,0))</f>
        <v>350</v>
      </c>
      <c r="Q25" s="46">
        <f>IF(Q5&lt;=ConstructPeriod,0,IF(Q5-ConstructPeriod&lt;=OperationPeriod,假设及结论!$I$18,0))</f>
        <v>350</v>
      </c>
      <c r="R25" s="46">
        <f>IF(R5&lt;=ConstructPeriod,0,IF(R5-ConstructPeriod&lt;=OperationPeriod,假设及结论!$I$18,0))</f>
        <v>350</v>
      </c>
      <c r="S25" s="46">
        <f>IF(S5&lt;=ConstructPeriod,0,IF(S5-ConstructPeriod&lt;=OperationPeriod,假设及结论!$I$18,0))</f>
        <v>350</v>
      </c>
      <c r="T25" s="46">
        <f>IF(T5&lt;=ConstructPeriod,0,IF(T5-ConstructPeriod&lt;=OperationPeriod,假设及结论!$I$18,0))</f>
        <v>350</v>
      </c>
      <c r="U25" s="46">
        <f>IF(U5&lt;=ConstructPeriod,0,IF(U5-ConstructPeriod&lt;=OperationPeriod,假设及结论!$I$18,0))</f>
        <v>350</v>
      </c>
      <c r="V25" s="46">
        <f>IF(V5&lt;=ConstructPeriod,0,IF(V5-ConstructPeriod&lt;=OperationPeriod,假设及结论!$I$18,0))</f>
        <v>350</v>
      </c>
      <c r="W25" s="46">
        <f>IF(W5&lt;=ConstructPeriod,0,IF(W5-ConstructPeriod&lt;=OperationPeriod,假设及结论!$I$18,0))</f>
        <v>350</v>
      </c>
      <c r="X25" s="46">
        <f>IF(X5&lt;=ConstructPeriod,0,IF(X5-ConstructPeriod&lt;=OperationPeriod,假设及结论!$I$18,0))</f>
        <v>350</v>
      </c>
      <c r="Y25" s="46">
        <f>IF(Y5&lt;=ConstructPeriod,0,IF(Y5-ConstructPeriod&lt;=OperationPeriod,假设及结论!$I$18,0))</f>
        <v>350</v>
      </c>
      <c r="Z25" s="46">
        <f>IF(Z5&lt;=ConstructPeriod,0,IF(Z5-ConstructPeriod&lt;=OperationPeriod,假设及结论!$I$18,0))</f>
        <v>350</v>
      </c>
      <c r="AA25" s="46">
        <f>IF(AA5&lt;=ConstructPeriod,0,IF(AA5-ConstructPeriod&lt;=OperationPeriod,假设及结论!$I$18,0))</f>
        <v>350</v>
      </c>
      <c r="AB25" s="46">
        <f>IF(AB5&lt;=ConstructPeriod,0,IF(AB5-ConstructPeriod&lt;=OperationPeriod,假设及结论!$I$18,0))</f>
        <v>350</v>
      </c>
      <c r="AC25" s="46">
        <f>IF(AC5&lt;=ConstructPeriod,0,IF(AC5-ConstructPeriod&lt;=OperationPeriod,假设及结论!$I$18,0))</f>
        <v>350</v>
      </c>
      <c r="AD25" s="46">
        <f>IF(AD5&lt;=ConstructPeriod,0,IF(AD5-ConstructPeriod&lt;=OperationPeriod,假设及结论!$I$18,0))</f>
        <v>0</v>
      </c>
    </row>
    <row r="26" s="56" customFormat="1" spans="1:30">
      <c r="A26" s="47"/>
      <c r="B26" s="152" t="s">
        <v>1391</v>
      </c>
      <c r="C26" s="148"/>
      <c r="D26" s="46"/>
      <c r="E26" s="46">
        <f>IF(E5&lt;=ConstructPeriod,0,IF(E5-ConstructPeriod&lt;=OperationPeriod,假设及结论!$F$13*10*假设及结论!$E$18*假设及结论!$O$18))</f>
        <v>191.25</v>
      </c>
      <c r="F26" s="46">
        <f>IF(F5&lt;=ConstructPeriod,0,IF(F5-ConstructPeriod&lt;=OperationPeriod,假设及结论!$F$13*10*假设及结论!$E$18*假设及结论!$O$18*(1-假设及结论!$N$21)))</f>
        <v>189.3375</v>
      </c>
      <c r="G26" s="46">
        <f>IF(G5&lt;=ConstructPeriod,0,IF(G5-ConstructPeriod&lt;=OperationPeriod,假设及结论!$F$13*10*假设及结论!$E$18*假设及结论!$O$18*(1-假设及结论!$N$21-假设及结论!$O$21*(G5-3))))</f>
        <v>188.5725</v>
      </c>
      <c r="H26" s="46">
        <f>IF(H5&lt;=ConstructPeriod,0,IF(H5-ConstructPeriod&lt;=OperationPeriod,假设及结论!$F$13*10*假设及结论!$E$18*假设及结论!$O$18*(1-假设及结论!$N$21-假设及结论!$O$21*(H5-3))))</f>
        <v>187.8075</v>
      </c>
      <c r="I26" s="46">
        <f>IF(I5&lt;=ConstructPeriod,0,IF(I5-ConstructPeriod&lt;=OperationPeriod,假设及结论!$F$13*10*假设及结论!$E$18*假设及结论!$O$18*(1-假设及结论!$N$21-假设及结论!$O$21*(I5-3))))</f>
        <v>187.0425</v>
      </c>
      <c r="J26" s="46">
        <f>IF(J5&lt;=ConstructPeriod,0,IF(J5-ConstructPeriod&lt;=OperationPeriod,假设及结论!$F$13*10*假设及结论!$E$18*假设及结论!$O$18*(1-假设及结论!$N$21-假设及结论!$O$21*(J5-3))))</f>
        <v>186.2775</v>
      </c>
      <c r="K26" s="46">
        <f>IF(K5&lt;=ConstructPeriod,0,IF(K5-ConstructPeriod&lt;=OperationPeriod,假设及结论!$F$13*10*假设及结论!$E$18*假设及结论!$O$18*(1-假设及结论!$N$21-假设及结论!$O$21*(K5-3))))</f>
        <v>185.5125</v>
      </c>
      <c r="L26" s="46">
        <f>IF(L5&lt;=ConstructPeriod,0,IF(L5-ConstructPeriod&lt;=OperationPeriod,假设及结论!$F$13*10*假设及结论!$E$18*假设及结论!$O$18*(1-假设及结论!$N$21-假设及结论!$O$21*(L5-3))))</f>
        <v>184.7475</v>
      </c>
      <c r="M26" s="46">
        <f>IF(M5&lt;=ConstructPeriod,0,IF(M5-ConstructPeriod&lt;=OperationPeriod,假设及结论!$F$13*10*假设及结论!$E$18*假设及结论!$O$18*(1-假设及结论!$N$21-假设及结论!$O$21*(M5-3))))</f>
        <v>183.9825</v>
      </c>
      <c r="N26" s="46">
        <f>IF(N5&lt;=ConstructPeriod,0,IF(N5-ConstructPeriod&lt;=OperationPeriod,假设及结论!$F$13*10*假设及结论!$E$18*假设及结论!$O$18*(1-假设及结论!$N$21-假设及结论!$O$21*(N5-3))))</f>
        <v>183.2175</v>
      </c>
      <c r="O26" s="46">
        <f>IF(O5&lt;=ConstructPeriod,0,IF(O5-ConstructPeriod&lt;=OperationPeriod,假设及结论!$F$13*10*假设及结论!$E$18*假设及结论!$O$18*(1-假设及结论!$N$21-假设及结论!$O$21*(O5-3))))</f>
        <v>182.4525</v>
      </c>
      <c r="P26" s="46">
        <f>IF(P5&lt;=ConstructPeriod,0,IF(P5-ConstructPeriod&lt;=OperationPeriod,假设及结论!$F$13*10*假设及结论!$E$18*假设及结论!$O$18*(1-假设及结论!$N$21-假设及结论!$O$21*(P5-3))))</f>
        <v>181.6875</v>
      </c>
      <c r="Q26" s="46">
        <f>IF(Q5&lt;=ConstructPeriod,0,IF(Q5-ConstructPeriod&lt;=OperationPeriod,假设及结论!$F$13*10*假设及结论!$E$18*假设及结论!$O$18*(1-假设及结论!$N$21-假设及结论!$O$21*(Q5-3))))</f>
        <v>180.9225</v>
      </c>
      <c r="R26" s="46">
        <f>IF(R5&lt;=ConstructPeriod,0,IF(R5-ConstructPeriod&lt;=OperationPeriod,假设及结论!$F$13*10*假设及结论!$E$18*假设及结论!$O$18*(1-假设及结论!$N$21-假设及结论!$O$21*(R5-3))))</f>
        <v>180.1575</v>
      </c>
      <c r="S26" s="46">
        <f>IF(S5&lt;=ConstructPeriod,0,IF(S5-ConstructPeriod&lt;=OperationPeriod,假设及结论!$F$13*10*假设及结论!$E$18*假设及结论!$O$18*(1-假设及结论!$N$21-假设及结论!$O$21*(S5-3))))</f>
        <v>179.3925</v>
      </c>
      <c r="T26" s="46">
        <f>IF(T5&lt;=ConstructPeriod,0,IF(T5-ConstructPeriod&lt;=OperationPeriod,假设及结论!$F$13*10*假设及结论!$E$18*假设及结论!$O$18*(1-假设及结论!$N$21-假设及结论!$O$21*(T5-3))))</f>
        <v>178.6275</v>
      </c>
      <c r="U26" s="46">
        <f>IF(U5&lt;=ConstructPeriod,0,IF(U5-ConstructPeriod&lt;=OperationPeriod,假设及结论!$F$13*10*假设及结论!$E$18*假设及结论!$O$18*(1-假设及结论!$N$21-假设及结论!$O$21*(U5-3))))</f>
        <v>177.8625</v>
      </c>
      <c r="V26" s="46">
        <f>IF(V5&lt;=ConstructPeriod,0,IF(V5-ConstructPeriod&lt;=OperationPeriod,假设及结论!$F$13*10*假设及结论!$E$18*假设及结论!$O$18*(1-假设及结论!$N$21-假设及结论!$O$21*(V5-3))))</f>
        <v>177.0975</v>
      </c>
      <c r="W26" s="46">
        <f>IF(W5&lt;=ConstructPeriod,0,IF(W5-ConstructPeriod&lt;=OperationPeriod,假设及结论!$F$13*10*假设及结论!$E$18*假设及结论!$O$18*(1-假设及结论!$N$21-假设及结论!$O$21*(W5-3))))</f>
        <v>176.3325</v>
      </c>
      <c r="X26" s="46">
        <f>IF(X5&lt;=ConstructPeriod,0,IF(X5-ConstructPeriod&lt;=OperationPeriod,假设及结论!$F$13*10*假设及结论!$E$18*假设及结论!$O$18*(1-假设及结论!$N$21-假设及结论!$O$21*(X5-3))))</f>
        <v>175.5675</v>
      </c>
      <c r="Y26" s="46">
        <f>IF(Y5&lt;=ConstructPeriod,0,IF(Y5-ConstructPeriod&lt;=OperationPeriod,假设及结论!$F$13*10*假设及结论!$E$18*假设及结论!$O$18*(1-假设及结论!$N$21-假设及结论!$O$21*(Y5-3))))</f>
        <v>174.8025</v>
      </c>
      <c r="Z26" s="46">
        <f>IF(Z5&lt;=ConstructPeriod,0,IF(Z5-ConstructPeriod&lt;=OperationPeriod,假设及结论!$F$13*10*假设及结论!$E$18*假设及结论!$O$18*(1-假设及结论!$N$21-假设及结论!$O$21*(Z5-3))))</f>
        <v>174.0375</v>
      </c>
      <c r="AA26" s="46">
        <f>IF(AA5&lt;=ConstructPeriod,0,IF(AA5-ConstructPeriod&lt;=OperationPeriod,假设及结论!$F$13*10*假设及结论!$E$18*假设及结论!$O$18*(1-假设及结论!$N$21-假设及结论!$O$21*(AA5-3))))</f>
        <v>173.2725</v>
      </c>
      <c r="AB26" s="46">
        <f>IF(AB5&lt;=ConstructPeriod,0,IF(AB5-ConstructPeriod&lt;=OperationPeriod,假设及结论!$F$13*10*假设及结论!$E$18*假设及结论!$O$18*(1-假设及结论!$N$21-假设及结论!$O$21*(AB5-3))))</f>
        <v>172.5075</v>
      </c>
      <c r="AC26" s="46">
        <f>IF(AC5&lt;=ConstructPeriod,0,IF(AC5-ConstructPeriod&lt;=OperationPeriod,假设及结论!$F$13*10*假设及结论!$E$18*假设及结论!$O$18*(1-假设及结论!$N$21-假设及结论!$O$21*(AC5-3))))</f>
        <v>171.7425</v>
      </c>
      <c r="AD26" s="46"/>
    </row>
    <row r="27" s="56" customFormat="1" spans="1:30">
      <c r="A27" s="47"/>
      <c r="B27" s="152"/>
      <c r="C27" s="148"/>
      <c r="D27" s="46"/>
      <c r="E27" s="154"/>
      <c r="F27" s="154"/>
      <c r="G27" s="154"/>
      <c r="H27" s="154"/>
      <c r="I27" s="154"/>
      <c r="J27" s="154"/>
      <c r="K27" s="154"/>
      <c r="L27" s="154"/>
      <c r="M27" s="154"/>
      <c r="N27" s="154"/>
      <c r="O27" s="154"/>
      <c r="P27" s="154"/>
      <c r="Q27" s="154"/>
      <c r="R27" s="154"/>
      <c r="S27" s="154"/>
      <c r="T27" s="154"/>
      <c r="U27" s="154"/>
      <c r="V27" s="154"/>
      <c r="W27" s="154"/>
      <c r="X27" s="154"/>
      <c r="Y27" s="154"/>
      <c r="Z27" s="154"/>
      <c r="AA27" s="154"/>
      <c r="AB27" s="154"/>
      <c r="AC27" s="154"/>
      <c r="AD27" s="154"/>
    </row>
    <row r="28" s="56" customFormat="1" ht="18" spans="1:30">
      <c r="A28" s="47"/>
      <c r="B28" s="158" t="s">
        <v>1392</v>
      </c>
      <c r="C28" s="148">
        <f t="shared" ref="C28:C33" si="4">SUM(E28:AD28)</f>
        <v>0</v>
      </c>
      <c r="D28" s="46">
        <f>D7*17%</f>
        <v>0</v>
      </c>
      <c r="E28" s="46">
        <f>IF(假设及结论!$Q$7="NO",0,(E10*假设及结论!$L$15+E14*假设及结论!$P$15+E18*假设及结论!$O$15)*假设及结论!$F$13+假设及结论!$F$13*假设及结论!$E$18*假设及结论!$P$18*假设及结论!$D$18*假设及结论!$Q$18*1000-E7)</f>
        <v>0</v>
      </c>
      <c r="F28" s="46">
        <f>IF(假设及结论!$Q$7="NO",0,(F10*假设及结论!$L$15+F14*假设及结论!$P$15+F18*假设及结论!$O$15)*假设及结论!$F$13+假设及结论!$F$13*假设及结论!$E$18*假设及结论!$P$18*假设及结论!$D$18*假设及结论!$Q$18*1000-F7)</f>
        <v>0</v>
      </c>
      <c r="G28" s="46">
        <f>IF(假设及结论!$Q$7="NO",0,(G10*假设及结论!$L$15+G14*假设及结论!$P$15+G18*假设及结论!$O$15)*假设及结论!$F$13+假设及结论!$F$13*假设及结论!$E$18*假设及结论!$P$18*假设及结论!$D$18*假设及结论!$Q$18*1000-G7)</f>
        <v>0</v>
      </c>
      <c r="H28" s="46">
        <f>IF(假设及结论!$Q$7="NO",0,(H10*假设及结论!$L$15+H14*假设及结论!$P$15+H18*假设及结论!$O$15)*假设及结论!$F$13+假设及结论!$F$13*假设及结论!$E$18*假设及结论!$P$18*假设及结论!$D$18*假设及结论!$Q$18*1000-H7)</f>
        <v>0</v>
      </c>
      <c r="I28" s="46">
        <f>IF(假设及结论!$Q$7="NO",0,(I10*假设及结论!$L$15+I14*假设及结论!$P$15+I18*假设及结论!$O$15)*假设及结论!$F$13+假设及结论!$F$13*假设及结论!$E$18*假设及结论!$P$18*假设及结论!$D$18*假设及结论!$Q$18*1000-I7)</f>
        <v>0</v>
      </c>
      <c r="J28" s="46">
        <f>IF(假设及结论!$Q$7="NO",0,(J10*假设及结论!$L$15+J14*假设及结论!$P$15+J18*假设及结论!$O$15)*假设及结论!$F$13+假设及结论!$F$13*假设及结论!$E$18*假设及结论!$P$18*假设及结论!$D$18*假设及结论!$Q$18*1000-J7)</f>
        <v>0</v>
      </c>
      <c r="K28" s="46">
        <f>IF(假设及结论!$Q$7="NO",0,(K10*假设及结论!$L$15+K14*假设及结论!$P$15+K18*假设及结论!$O$15)*假设及结论!$F$13+假设及结论!$F$13*假设及结论!$E$18*假设及结论!$P$18*假设及结论!$D$18*假设及结论!$Q$18*1000-K7)</f>
        <v>0</v>
      </c>
      <c r="L28" s="46">
        <f>IF(假设及结论!$Q$7="NO",0,(L10*假设及结论!$L$15+L14*假设及结论!$P$15+L18*假设及结论!$O$15)*假设及结论!$F$13+假设及结论!$F$13*假设及结论!$E$18*假设及结论!$P$18*假设及结论!$D$18*假设及结论!$Q$18*1000-L7)</f>
        <v>0</v>
      </c>
      <c r="M28" s="46">
        <f>IF(假设及结论!$Q$7="NO",0,(M10*假设及结论!$L$15+M14*假设及结论!$P$15+M18*假设及结论!$O$15)*假设及结论!$F$13+假设及结论!$F$13*假设及结论!$E$18*假设及结论!$P$18*假设及结论!$D$18*假设及结论!$Q$18*1000-M7)</f>
        <v>0</v>
      </c>
      <c r="N28" s="46">
        <f>IF(假设及结论!$Q$7="NO",0,(N10*假设及结论!$L$15+N14*假设及结论!$P$15+N18*假设及结论!$O$15)*假设及结论!$F$13+假设及结论!$F$13*假设及结论!$E$18*假设及结论!$P$18*假设及结论!$D$18*假设及结论!$Q$18*1000-N7)</f>
        <v>0</v>
      </c>
      <c r="O28" s="46">
        <f>IF(假设及结论!$Q$7="NO",0,(O10*假设及结论!$L$15+O14*假设及结论!$P$15+O18*假设及结论!$O$15)*假设及结论!$F$13+假设及结论!$F$13*假设及结论!$E$18*假设及结论!$P$18*假设及结论!$D$18*假设及结论!$Q$18*1000-O7)</f>
        <v>0</v>
      </c>
      <c r="P28" s="46">
        <f>IF(假设及结论!$Q$7="NO",0,(P10*假设及结论!$L$15+P14*假设及结论!$P$15+P18*假设及结论!$O$15)*假设及结论!$F$13+假设及结论!$F$13*假设及结论!$E$18*假设及结论!$P$18*假设及结论!$D$18*假设及结论!$Q$18*1000-P7)</f>
        <v>0</v>
      </c>
      <c r="Q28" s="46">
        <f>IF(假设及结论!$Q$7="NO",0,(Q10*假设及结论!$L$15+Q14*假设及结论!$P$15+Q18*假设及结论!$O$15)*假设及结论!$F$13+假设及结论!$F$13*假设及结论!$E$18*假设及结论!$P$18*假设及结论!$D$18*假设及结论!$Q$18*1000-Q7)</f>
        <v>0</v>
      </c>
      <c r="R28" s="46">
        <f>IF(假设及结论!$Q$7="NO",0,(R10*假设及结论!$L$15+R14*假设及结论!$P$15+R18*假设及结论!$O$15)*假设及结论!$F$13+假设及结论!$F$13*假设及结论!$E$18*假设及结论!$P$18*假设及结论!$D$18*假设及结论!$Q$18*1000-R7)</f>
        <v>0</v>
      </c>
      <c r="S28" s="46">
        <f>IF(假设及结论!$Q$7="NO",0,(S10*假设及结论!$L$15+S14*假设及结论!$P$15+S18*假设及结论!$O$15)*假设及结论!$F$13+假设及结论!$F$13*假设及结论!$E$18*假设及结论!$P$18*假设及结论!$D$18*假设及结论!$Q$18*1000-S7)</f>
        <v>0</v>
      </c>
      <c r="T28" s="46">
        <f>IF(假设及结论!$Q$7="NO",0,(T10*假设及结论!$L$15+T14*假设及结论!$P$15+T18*假设及结论!$O$15)*假设及结论!$F$13+假设及结论!$F$13*假设及结论!$E$18*假设及结论!$P$18*假设及结论!$D$18*假设及结论!$Q$18*1000-T7)</f>
        <v>0</v>
      </c>
      <c r="U28" s="46">
        <f>IF(假设及结论!$Q$7="NO",0,(U10*假设及结论!$L$15+U14*假设及结论!$P$15+U18*假设及结论!$O$15)*假设及结论!$F$13+假设及结论!$F$13*假设及结论!$E$18*假设及结论!$P$18*假设及结论!$D$18*假设及结论!$Q$18*1000-U7)</f>
        <v>0</v>
      </c>
      <c r="V28" s="46">
        <f>IF(假设及结论!$Q$7="NO",0,(V10*假设及结论!$L$15+V14*假设及结论!$P$15+V18*假设及结论!$O$15)*假设及结论!$F$13+假设及结论!$F$13*假设及结论!$E$18*假设及结论!$P$18*假设及结论!$D$18*假设及结论!$Q$18*1000-V7)</f>
        <v>0</v>
      </c>
      <c r="W28" s="46">
        <f>IF(假设及结论!$Q$7="NO",0,(W10*假设及结论!$L$15+W14*假设及结论!$P$15+W18*假设及结论!$O$15)*假设及结论!$F$13+假设及结论!$F$13*假设及结论!$E$18*假设及结论!$P$18*假设及结论!$D$18*假设及结论!$Q$18*1000-W7)</f>
        <v>0</v>
      </c>
      <c r="X28" s="46">
        <f>IF(假设及结论!$Q$7="NO",0,(X10*假设及结论!$L$15+X14*假设及结论!$P$15+X18*假设及结论!$O$15)*假设及结论!$F$13+假设及结论!$F$13*假设及结论!$E$18*假设及结论!$P$18*假设及结论!$D$18*假设及结论!$Q$18*1000-X7)</f>
        <v>0</v>
      </c>
      <c r="Y28" s="46">
        <f>IF(假设及结论!$Q$7="NO",0,(Y10*假设及结论!$L$15+Y14*假设及结论!$P$15+Y18*假设及结论!$O$15)*假设及结论!$F$13+假设及结论!$F$13*假设及结论!$E$18*假设及结论!$P$18*假设及结论!$D$18*假设及结论!$Q$18*1000-Y7)</f>
        <v>0</v>
      </c>
      <c r="Z28" s="46">
        <f>IF(假设及结论!$Q$7="NO",0,(Z10*假设及结论!$L$15+Z14*假设及结论!$P$15+Z18*假设及结论!$O$15)*假设及结论!$F$13+假设及结论!$F$13*假设及结论!$E$18*假设及结论!$P$18*假设及结论!$D$18*假设及结论!$Q$18*1000-Z7)</f>
        <v>0</v>
      </c>
      <c r="AA28" s="46">
        <f>IF(假设及结论!$Q$7="NO",0,(AA10*假设及结论!$L$15+AA14*假设及结论!$P$15+AA18*假设及结论!$O$15)*假设及结论!$F$13+假设及结论!$F$13*假设及结论!$E$18*假设及结论!$P$18*假设及结论!$D$18*假设及结论!$Q$18*1000-AA7)</f>
        <v>0</v>
      </c>
      <c r="AB28" s="46">
        <f>IF(假设及结论!$Q$7="NO",0,(AB10*假设及结论!$L$15+AB14*假设及结论!$P$15+AB18*假设及结论!$O$15)*假设及结论!$F$13+假设及结论!$F$13*假设及结论!$E$18*假设及结论!$P$18*假设及结论!$D$18*假设及结论!$Q$18*1000-AB7)</f>
        <v>0</v>
      </c>
      <c r="AC28" s="46">
        <f>IF(假设及结论!$Q$7="NO",0,(AC10*假设及结论!$L$15+AC14*假设及结论!$P$15+AC18*假设及结论!$O$15)*假设及结论!$F$13+假设及结论!$F$13*假设及结论!$E$18*假设及结论!$P$18*假设及结论!$D$18*假设及结论!$Q$18*1000-AC7)</f>
        <v>0</v>
      </c>
      <c r="AD28" s="46">
        <f>IF(假设及结论!$Q$7="NO",0,(AD10*假设及结论!$L$15+AD14*假设及结论!$P$15+AD18*假设及结论!$O$15)*假设及结论!$F$13+假设及结论!$F$13*假设及结论!$E$18*假设及结论!$P$18*假设及结论!$D$18*假设及结论!$Q$18*1000-AD7)</f>
        <v>0</v>
      </c>
    </row>
    <row r="29" s="56" customFormat="1" spans="1:30">
      <c r="A29" s="47"/>
      <c r="B29" s="117"/>
      <c r="C29" s="153"/>
      <c r="D29" s="159"/>
      <c r="E29" s="159"/>
      <c r="F29" s="159"/>
      <c r="G29" s="159"/>
      <c r="H29" s="159"/>
      <c r="I29" s="159"/>
      <c r="J29" s="159"/>
      <c r="K29" s="159"/>
      <c r="L29" s="159"/>
      <c r="M29" s="159"/>
      <c r="N29" s="159"/>
      <c r="O29" s="159"/>
      <c r="P29" s="159"/>
      <c r="Q29" s="159"/>
      <c r="R29" s="159"/>
      <c r="S29" s="159"/>
      <c r="T29" s="159"/>
      <c r="U29" s="159"/>
      <c r="V29" s="159"/>
      <c r="W29" s="159"/>
      <c r="X29" s="159"/>
      <c r="Y29" s="159"/>
      <c r="Z29" s="159"/>
      <c r="AA29" s="159"/>
      <c r="AB29" s="159"/>
      <c r="AC29" s="159"/>
      <c r="AD29" s="159"/>
    </row>
    <row r="30" spans="1:30">
      <c r="A30" s="42">
        <v>2</v>
      </c>
      <c r="B30" s="91" t="s">
        <v>730</v>
      </c>
      <c r="C30" s="148">
        <f t="shared" si="4"/>
        <v>9400.24386</v>
      </c>
      <c r="D30" s="46">
        <f>SUM(D31:D32)</f>
        <v>0</v>
      </c>
      <c r="E30" s="46">
        <f>SUM(E31:E33)</f>
        <v>397.3725</v>
      </c>
      <c r="F30" s="46">
        <f t="shared" ref="F30:AD30" si="5">SUM(F31:F33)</f>
        <v>393.398775</v>
      </c>
      <c r="G30" s="46">
        <f t="shared" si="5"/>
        <v>391.809285</v>
      </c>
      <c r="H30" s="46">
        <f t="shared" si="5"/>
        <v>390.219795</v>
      </c>
      <c r="I30" s="46">
        <f t="shared" si="5"/>
        <v>388.630305</v>
      </c>
      <c r="J30" s="46">
        <f t="shared" si="5"/>
        <v>387.040815</v>
      </c>
      <c r="K30" s="46">
        <f t="shared" si="5"/>
        <v>385.451325</v>
      </c>
      <c r="L30" s="46">
        <f t="shared" si="5"/>
        <v>383.861835</v>
      </c>
      <c r="M30" s="46">
        <f t="shared" si="5"/>
        <v>382.272345</v>
      </c>
      <c r="N30" s="46">
        <f t="shared" si="5"/>
        <v>380.682855</v>
      </c>
      <c r="O30" s="46">
        <f t="shared" si="5"/>
        <v>379.093365</v>
      </c>
      <c r="P30" s="46">
        <f t="shared" si="5"/>
        <v>377.503875</v>
      </c>
      <c r="Q30" s="46">
        <f t="shared" si="5"/>
        <v>375.914385</v>
      </c>
      <c r="R30" s="46">
        <f t="shared" si="5"/>
        <v>374.324895</v>
      </c>
      <c r="S30" s="46">
        <f t="shared" si="5"/>
        <v>372.735405</v>
      </c>
      <c r="T30" s="46">
        <f t="shared" si="5"/>
        <v>371.145915</v>
      </c>
      <c r="U30" s="46">
        <f t="shared" si="5"/>
        <v>369.556425</v>
      </c>
      <c r="V30" s="46">
        <f t="shared" si="5"/>
        <v>367.966935</v>
      </c>
      <c r="W30" s="46">
        <f t="shared" si="5"/>
        <v>366.377445</v>
      </c>
      <c r="X30" s="46">
        <f t="shared" si="5"/>
        <v>364.787955</v>
      </c>
      <c r="Y30" s="46">
        <f t="shared" si="5"/>
        <v>363.198465</v>
      </c>
      <c r="Z30" s="46">
        <f t="shared" si="5"/>
        <v>361.608975</v>
      </c>
      <c r="AA30" s="46">
        <f t="shared" si="5"/>
        <v>360.019485</v>
      </c>
      <c r="AB30" s="46">
        <f t="shared" si="5"/>
        <v>358.429995</v>
      </c>
      <c r="AC30" s="46">
        <f t="shared" si="5"/>
        <v>356.840505</v>
      </c>
      <c r="AD30" s="46">
        <f t="shared" si="5"/>
        <v>0</v>
      </c>
    </row>
    <row r="31" spans="1:30">
      <c r="A31" s="42">
        <v>2.1</v>
      </c>
      <c r="B31" s="160" t="str">
        <f>"城市维护建设费（"&amp;假设及结论!F30*100&amp;"%）"</f>
        <v>城市维护建设费（0%）</v>
      </c>
      <c r="C31" s="148">
        <f t="shared" si="4"/>
        <v>0</v>
      </c>
      <c r="D31" s="46"/>
      <c r="E31" s="46">
        <f>IF(E39=0,0,E39*假设及结论!$F$30)</f>
        <v>0</v>
      </c>
      <c r="F31" s="46">
        <f>IF(F39=0,0,F39*假设及结论!$F$30)</f>
        <v>0</v>
      </c>
      <c r="G31" s="46">
        <f>IF(G39=0,0,G39*假设及结论!$F$30)</f>
        <v>0</v>
      </c>
      <c r="H31" s="46">
        <f>IF(H39=0,0,H39*假设及结论!$F$30)</f>
        <v>0</v>
      </c>
      <c r="I31" s="46">
        <f>IF(I39=0,0,I39*假设及结论!$F$30)</f>
        <v>0</v>
      </c>
      <c r="J31" s="46">
        <f>IF(J39=0,0,J39*假设及结论!$F$30)</f>
        <v>0</v>
      </c>
      <c r="K31" s="46">
        <f>IF(K39=0,0,K39*假设及结论!$F$30)</f>
        <v>0</v>
      </c>
      <c r="L31" s="46">
        <f>IF(L39=0,0,L39*假设及结论!$F$30)</f>
        <v>0</v>
      </c>
      <c r="M31" s="46">
        <f>IF(M39=0,0,M39*假设及结论!$F$30)</f>
        <v>0</v>
      </c>
      <c r="N31" s="46">
        <f>IF(N39=0,0,N39*假设及结论!$F$30)</f>
        <v>0</v>
      </c>
      <c r="O31" s="46">
        <f>IF(O39=0,0,O39*假设及结论!$F$30)</f>
        <v>0</v>
      </c>
      <c r="P31" s="46">
        <f>IF(P39=0,0,P39*假设及结论!$F$30)</f>
        <v>0</v>
      </c>
      <c r="Q31" s="46">
        <f>IF(Q39=0,0,Q39*假设及结论!$F$30)</f>
        <v>0</v>
      </c>
      <c r="R31" s="46">
        <f>IF(R39=0,0,R39*假设及结论!$F$30)</f>
        <v>0</v>
      </c>
      <c r="S31" s="46">
        <f>IF(S39=0,0,S39*假设及结论!$F$30)</f>
        <v>0</v>
      </c>
      <c r="T31" s="46">
        <f>IF(T39=0,0,T39*假设及结论!$F$30)</f>
        <v>0</v>
      </c>
      <c r="U31" s="46">
        <f>IF(U39=0,0,U39*假设及结论!$F$30)</f>
        <v>0</v>
      </c>
      <c r="V31" s="46">
        <f>IF(V39=0,0,V39*假设及结论!$F$30)</f>
        <v>0</v>
      </c>
      <c r="W31" s="46">
        <f>IF(W39=0,0,W39*假设及结论!$F$30)</f>
        <v>0</v>
      </c>
      <c r="X31" s="46">
        <f>IF(X39=0,0,X39*假设及结论!$F$30)</f>
        <v>0</v>
      </c>
      <c r="Y31" s="46">
        <f>IF(Y39=0,0,Y39*假设及结论!$F$30)</f>
        <v>0</v>
      </c>
      <c r="Z31" s="46">
        <f>IF(Z39=0,0,Z39*假设及结论!$F$30)</f>
        <v>0</v>
      </c>
      <c r="AA31" s="46">
        <f>IF(AA39=0,0,AA39*假设及结论!$F$30)</f>
        <v>0</v>
      </c>
      <c r="AB31" s="46">
        <f>IF(AB39=0,0,AB39*假设及结论!$F$30)</f>
        <v>0</v>
      </c>
      <c r="AC31" s="46">
        <f>IF(AC39=0,0,AC39*假设及结论!$F$30)</f>
        <v>0</v>
      </c>
      <c r="AD31" s="46">
        <f>IF(AD39=0,0,AD39*假设及结论!$F$30)</f>
        <v>0</v>
      </c>
    </row>
    <row r="32" spans="1:30">
      <c r="A32" s="42">
        <v>2.2</v>
      </c>
      <c r="B32" s="161" t="str">
        <f>"教育附加（"&amp;假设及结论!G30*100&amp;"%）"</f>
        <v>教育附加（0%）</v>
      </c>
      <c r="C32" s="148">
        <f t="shared" si="4"/>
        <v>0</v>
      </c>
      <c r="D32" s="46">
        <f>D35*3%</f>
        <v>0</v>
      </c>
      <c r="E32" s="46">
        <f>IF(E39=0,0,E39*假设及结论!$G$30)</f>
        <v>0</v>
      </c>
      <c r="F32" s="46">
        <f>IF(F39=0,0,F39*假设及结论!$G$30)</f>
        <v>0</v>
      </c>
      <c r="G32" s="46">
        <f>IF(G39=0,0,G39*假设及结论!$G$30)</f>
        <v>0</v>
      </c>
      <c r="H32" s="46">
        <f>IF(H39=0,0,H39*假设及结论!$G$30)</f>
        <v>0</v>
      </c>
      <c r="I32" s="46">
        <f>IF(I39=0,0,I39*假设及结论!$G$30)</f>
        <v>0</v>
      </c>
      <c r="J32" s="46">
        <f>IF(J39=0,0,J39*假设及结论!$G$30)</f>
        <v>0</v>
      </c>
      <c r="K32" s="46">
        <f>IF(K39=0,0,K39*假设及结论!$G$30)</f>
        <v>0</v>
      </c>
      <c r="L32" s="46">
        <f>IF(L39=0,0,L39*假设及结论!$G$30)</f>
        <v>0</v>
      </c>
      <c r="M32" s="46">
        <f>IF(M39=0,0,M39*假设及结论!$G$30)</f>
        <v>0</v>
      </c>
      <c r="N32" s="46">
        <f>IF(N39=0,0,N39*假设及结论!$G$30)</f>
        <v>0</v>
      </c>
      <c r="O32" s="46">
        <f>IF(O39=0,0,O39*假设及结论!$G$30)</f>
        <v>0</v>
      </c>
      <c r="P32" s="46">
        <f>IF(P39=0,0,P39*假设及结论!$G$30)</f>
        <v>0</v>
      </c>
      <c r="Q32" s="46">
        <f>IF(Q39=0,0,Q39*假设及结论!$G$30)</f>
        <v>0</v>
      </c>
      <c r="R32" s="46">
        <f>IF(R39=0,0,R39*假设及结论!$G$30)</f>
        <v>0</v>
      </c>
      <c r="S32" s="46">
        <f>IF(S39=0,0,S39*假设及结论!$G$30)</f>
        <v>0</v>
      </c>
      <c r="T32" s="46">
        <f>IF(T39=0,0,T39*假设及结论!$G$30)</f>
        <v>0</v>
      </c>
      <c r="U32" s="46">
        <f>IF(U39=0,0,U39*假设及结论!$G$30)</f>
        <v>0</v>
      </c>
      <c r="V32" s="46">
        <f>IF(V39=0,0,V39*假设及结论!$G$30)</f>
        <v>0</v>
      </c>
      <c r="W32" s="46">
        <f>IF(W39=0,0,W39*假设及结论!$G$30)</f>
        <v>0</v>
      </c>
      <c r="X32" s="46">
        <f>IF(X39=0,0,X39*假设及结论!$G$30)</f>
        <v>0</v>
      </c>
      <c r="Y32" s="46">
        <f>IF(Y39=0,0,Y39*假设及结论!$G$30)</f>
        <v>0</v>
      </c>
      <c r="Z32" s="46">
        <f>IF(Z39=0,0,Z39*假设及结论!$G$30)</f>
        <v>0</v>
      </c>
      <c r="AA32" s="46">
        <f>IF(AA39=0,0,AA39*假设及结论!$G$30)</f>
        <v>0</v>
      </c>
      <c r="AB32" s="46">
        <f>IF(AB39=0,0,AB39*假设及结论!$G$30)</f>
        <v>0</v>
      </c>
      <c r="AC32" s="46">
        <f>IF(AC39=0,0,AC39*假设及结论!$G$30)</f>
        <v>0</v>
      </c>
      <c r="AD32" s="46">
        <f>IF(AD39=0,0,AD39*假设及结论!$G$30)</f>
        <v>0</v>
      </c>
    </row>
    <row r="33" spans="1:30">
      <c r="A33" s="42">
        <v>2.3</v>
      </c>
      <c r="B33" s="161" t="str">
        <f>"销售税（"&amp;假设及结论!K30*100&amp;"%）"</f>
        <v>销售税（1%）</v>
      </c>
      <c r="C33" s="148">
        <f t="shared" si="4"/>
        <v>9400.24386</v>
      </c>
      <c r="D33" s="46"/>
      <c r="E33" s="46">
        <f>E6*假设及结论!$K$30</f>
        <v>397.3725</v>
      </c>
      <c r="F33" s="46">
        <f>F6*假设及结论!$K$30</f>
        <v>393.398775</v>
      </c>
      <c r="G33" s="46">
        <f>G6*假设及结论!$K$30</f>
        <v>391.809285</v>
      </c>
      <c r="H33" s="46">
        <f>H6*假设及结论!$K$30</f>
        <v>390.219795</v>
      </c>
      <c r="I33" s="46">
        <f>I6*假设及结论!$K$30</f>
        <v>388.630305</v>
      </c>
      <c r="J33" s="46">
        <f>J6*假设及结论!$K$30</f>
        <v>387.040815</v>
      </c>
      <c r="K33" s="46">
        <f>K6*假设及结论!$K$30</f>
        <v>385.451325</v>
      </c>
      <c r="L33" s="46">
        <f>L6*假设及结论!$K$30</f>
        <v>383.861835</v>
      </c>
      <c r="M33" s="46">
        <f>M6*假设及结论!$K$30</f>
        <v>382.272345</v>
      </c>
      <c r="N33" s="46">
        <f>N6*假设及结论!$K$30</f>
        <v>380.682855</v>
      </c>
      <c r="O33" s="46">
        <f>O6*假设及结论!$K$30</f>
        <v>379.093365</v>
      </c>
      <c r="P33" s="46">
        <f>P6*假设及结论!$K$30</f>
        <v>377.503875</v>
      </c>
      <c r="Q33" s="46">
        <f>Q6*假设及结论!$K$30</f>
        <v>375.914385</v>
      </c>
      <c r="R33" s="46">
        <f>R6*假设及结论!$K$30</f>
        <v>374.324895</v>
      </c>
      <c r="S33" s="46">
        <f>S6*假设及结论!$K$30</f>
        <v>372.735405</v>
      </c>
      <c r="T33" s="46">
        <f>T6*假设及结论!$K$30</f>
        <v>371.145915</v>
      </c>
      <c r="U33" s="46">
        <f>U6*假设及结论!$K$30</f>
        <v>369.556425</v>
      </c>
      <c r="V33" s="46">
        <f>V6*假设及结论!$K$30</f>
        <v>367.966935</v>
      </c>
      <c r="W33" s="46">
        <f>W6*假设及结论!$K$30</f>
        <v>366.377445</v>
      </c>
      <c r="X33" s="46">
        <f>X6*假设及结论!$K$30</f>
        <v>364.787955</v>
      </c>
      <c r="Y33" s="46">
        <f>Y6*假设及结论!$K$30</f>
        <v>363.198465</v>
      </c>
      <c r="Z33" s="46">
        <f>Z6*假设及结论!$K$30</f>
        <v>361.608975</v>
      </c>
      <c r="AA33" s="46">
        <f>AA6*假设及结论!$K$30</f>
        <v>360.019485</v>
      </c>
      <c r="AB33" s="46">
        <f>AB6*假设及结论!$K$30</f>
        <v>358.429995</v>
      </c>
      <c r="AC33" s="46">
        <f>AC6*假设及结论!$K$30</f>
        <v>356.840505</v>
      </c>
      <c r="AD33" s="46">
        <f>AD6*假设及结论!$K$30</f>
        <v>0</v>
      </c>
    </row>
    <row r="34" spans="1:30">
      <c r="A34" s="43"/>
      <c r="B34" s="160"/>
      <c r="C34" s="162"/>
      <c r="D34" s="46"/>
      <c r="E34" s="46"/>
      <c r="F34" s="46"/>
      <c r="G34" s="46"/>
      <c r="H34" s="46"/>
      <c r="I34" s="46"/>
      <c r="J34" s="46"/>
      <c r="K34" s="46"/>
      <c r="L34" s="46"/>
      <c r="M34" s="46"/>
      <c r="N34" s="46"/>
      <c r="O34" s="46"/>
      <c r="P34" s="46"/>
      <c r="Q34" s="46"/>
      <c r="R34" s="46"/>
      <c r="S34" s="46"/>
      <c r="T34" s="46"/>
      <c r="U34" s="46"/>
      <c r="V34" s="46"/>
      <c r="W34" s="46"/>
      <c r="X34" s="46"/>
      <c r="Y34" s="46"/>
      <c r="Z34" s="46"/>
      <c r="AA34" s="46"/>
      <c r="AB34" s="46"/>
      <c r="AC34" s="46"/>
      <c r="AD34" s="46"/>
    </row>
    <row r="35" spans="1:30">
      <c r="A35" s="43">
        <v>3</v>
      </c>
      <c r="B35" s="161" t="s">
        <v>1393</v>
      </c>
      <c r="C35" s="148">
        <f t="shared" ref="C35:C40" si="6">SUM(E35:AD35)</f>
        <v>0</v>
      </c>
      <c r="D35" s="46">
        <f>(D36-D37)/2</f>
        <v>0</v>
      </c>
      <c r="E35" s="46">
        <f>E36-E37</f>
        <v>0</v>
      </c>
      <c r="F35" s="46">
        <f t="shared" ref="F35:X35" si="7">F36-F37</f>
        <v>0</v>
      </c>
      <c r="G35" s="46">
        <f t="shared" si="7"/>
        <v>0</v>
      </c>
      <c r="H35" s="46">
        <f t="shared" si="7"/>
        <v>0</v>
      </c>
      <c r="I35" s="46">
        <f t="shared" si="7"/>
        <v>0</v>
      </c>
      <c r="J35" s="46">
        <f t="shared" si="7"/>
        <v>0</v>
      </c>
      <c r="K35" s="46">
        <f t="shared" si="7"/>
        <v>0</v>
      </c>
      <c r="L35" s="46">
        <f t="shared" si="7"/>
        <v>0</v>
      </c>
      <c r="M35" s="46">
        <f t="shared" si="7"/>
        <v>0</v>
      </c>
      <c r="N35" s="46">
        <f t="shared" si="7"/>
        <v>0</v>
      </c>
      <c r="O35" s="46">
        <f t="shared" si="7"/>
        <v>0</v>
      </c>
      <c r="P35" s="46">
        <f t="shared" si="7"/>
        <v>0</v>
      </c>
      <c r="Q35" s="46">
        <f t="shared" si="7"/>
        <v>0</v>
      </c>
      <c r="R35" s="46">
        <f t="shared" si="7"/>
        <v>0</v>
      </c>
      <c r="S35" s="46">
        <f t="shared" si="7"/>
        <v>0</v>
      </c>
      <c r="T35" s="46">
        <f t="shared" si="7"/>
        <v>0</v>
      </c>
      <c r="U35" s="46">
        <f t="shared" si="7"/>
        <v>0</v>
      </c>
      <c r="V35" s="46">
        <f t="shared" si="7"/>
        <v>0</v>
      </c>
      <c r="W35" s="46">
        <f t="shared" si="7"/>
        <v>0</v>
      </c>
      <c r="X35" s="46">
        <f t="shared" si="7"/>
        <v>0</v>
      </c>
      <c r="Y35" s="46">
        <f t="shared" ref="Y35:AD35" si="8">Y36-Y37</f>
        <v>0</v>
      </c>
      <c r="Z35" s="46">
        <f t="shared" si="8"/>
        <v>0</v>
      </c>
      <c r="AA35" s="46">
        <f t="shared" si="8"/>
        <v>0</v>
      </c>
      <c r="AB35" s="46">
        <f t="shared" si="8"/>
        <v>0</v>
      </c>
      <c r="AC35" s="46">
        <f t="shared" si="8"/>
        <v>0</v>
      </c>
      <c r="AD35" s="46">
        <f t="shared" si="8"/>
        <v>0</v>
      </c>
    </row>
    <row r="36" spans="1:30">
      <c r="A36" s="43"/>
      <c r="B36" s="163" t="s">
        <v>1392</v>
      </c>
      <c r="C36" s="105"/>
      <c r="D36" s="46">
        <f>D29</f>
        <v>0</v>
      </c>
      <c r="E36" s="46">
        <f>E28</f>
        <v>0</v>
      </c>
      <c r="F36" s="46">
        <f t="shared" ref="F36:X36" si="9">F28</f>
        <v>0</v>
      </c>
      <c r="G36" s="46">
        <f t="shared" si="9"/>
        <v>0</v>
      </c>
      <c r="H36" s="46">
        <f t="shared" si="9"/>
        <v>0</v>
      </c>
      <c r="I36" s="46">
        <f t="shared" si="9"/>
        <v>0</v>
      </c>
      <c r="J36" s="46">
        <f t="shared" si="9"/>
        <v>0</v>
      </c>
      <c r="K36" s="46">
        <f t="shared" si="9"/>
        <v>0</v>
      </c>
      <c r="L36" s="46">
        <f t="shared" si="9"/>
        <v>0</v>
      </c>
      <c r="M36" s="46">
        <f t="shared" si="9"/>
        <v>0</v>
      </c>
      <c r="N36" s="46">
        <f t="shared" si="9"/>
        <v>0</v>
      </c>
      <c r="O36" s="46">
        <f t="shared" si="9"/>
        <v>0</v>
      </c>
      <c r="P36" s="46">
        <f t="shared" si="9"/>
        <v>0</v>
      </c>
      <c r="Q36" s="46">
        <f t="shared" si="9"/>
        <v>0</v>
      </c>
      <c r="R36" s="46">
        <f t="shared" si="9"/>
        <v>0</v>
      </c>
      <c r="S36" s="46">
        <f t="shared" si="9"/>
        <v>0</v>
      </c>
      <c r="T36" s="46">
        <f t="shared" si="9"/>
        <v>0</v>
      </c>
      <c r="U36" s="46">
        <f t="shared" si="9"/>
        <v>0</v>
      </c>
      <c r="V36" s="46">
        <f t="shared" si="9"/>
        <v>0</v>
      </c>
      <c r="W36" s="46">
        <f t="shared" si="9"/>
        <v>0</v>
      </c>
      <c r="X36" s="46">
        <f t="shared" si="9"/>
        <v>0</v>
      </c>
      <c r="Y36" s="46">
        <f t="shared" ref="Y36:AD36" si="10">Y28</f>
        <v>0</v>
      </c>
      <c r="Z36" s="46">
        <f t="shared" si="10"/>
        <v>0</v>
      </c>
      <c r="AA36" s="46">
        <f t="shared" si="10"/>
        <v>0</v>
      </c>
      <c r="AB36" s="46">
        <f t="shared" si="10"/>
        <v>0</v>
      </c>
      <c r="AC36" s="46">
        <f t="shared" si="10"/>
        <v>0</v>
      </c>
      <c r="AD36" s="46">
        <f t="shared" si="10"/>
        <v>0</v>
      </c>
    </row>
    <row r="37" spans="1:30">
      <c r="A37" s="43"/>
      <c r="B37" s="164" t="s">
        <v>1394</v>
      </c>
      <c r="C37" s="105"/>
      <c r="D37" s="46"/>
      <c r="E37" s="46"/>
      <c r="F37" s="46">
        <f t="shared" ref="F37:X37" si="11">IF(E37-E36&lt;0,0,E37-E36)</f>
        <v>0</v>
      </c>
      <c r="G37" s="46">
        <f t="shared" si="11"/>
        <v>0</v>
      </c>
      <c r="H37" s="46">
        <f t="shared" si="11"/>
        <v>0</v>
      </c>
      <c r="I37" s="46">
        <f t="shared" si="11"/>
        <v>0</v>
      </c>
      <c r="J37" s="46">
        <f t="shared" si="11"/>
        <v>0</v>
      </c>
      <c r="K37" s="46">
        <f t="shared" si="11"/>
        <v>0</v>
      </c>
      <c r="L37" s="46">
        <f t="shared" si="11"/>
        <v>0</v>
      </c>
      <c r="M37" s="46">
        <f t="shared" si="11"/>
        <v>0</v>
      </c>
      <c r="N37" s="46">
        <f t="shared" si="11"/>
        <v>0</v>
      </c>
      <c r="O37" s="46">
        <f t="shared" si="11"/>
        <v>0</v>
      </c>
      <c r="P37" s="46">
        <f t="shared" si="11"/>
        <v>0</v>
      </c>
      <c r="Q37" s="46">
        <f t="shared" si="11"/>
        <v>0</v>
      </c>
      <c r="R37" s="46">
        <f t="shared" si="11"/>
        <v>0</v>
      </c>
      <c r="S37" s="46">
        <f t="shared" si="11"/>
        <v>0</v>
      </c>
      <c r="T37" s="46">
        <f t="shared" si="11"/>
        <v>0</v>
      </c>
      <c r="U37" s="46">
        <f t="shared" si="11"/>
        <v>0</v>
      </c>
      <c r="V37" s="46">
        <f t="shared" si="11"/>
        <v>0</v>
      </c>
      <c r="W37" s="46">
        <f t="shared" si="11"/>
        <v>0</v>
      </c>
      <c r="X37" s="46">
        <f t="shared" si="11"/>
        <v>0</v>
      </c>
      <c r="Y37" s="46">
        <f t="shared" ref="Y37:AD37" si="12">IF(X37-X36&lt;0,0,X37-X36)</f>
        <v>0</v>
      </c>
      <c r="Z37" s="46">
        <f t="shared" si="12"/>
        <v>0</v>
      </c>
      <c r="AA37" s="46">
        <f t="shared" si="12"/>
        <v>0</v>
      </c>
      <c r="AB37" s="46">
        <f t="shared" si="12"/>
        <v>0</v>
      </c>
      <c r="AC37" s="46">
        <f t="shared" si="12"/>
        <v>0</v>
      </c>
      <c r="AD37" s="46">
        <f t="shared" si="12"/>
        <v>0</v>
      </c>
    </row>
    <row r="38" spans="1:30">
      <c r="A38" s="43"/>
      <c r="B38" s="163" t="s">
        <v>1395</v>
      </c>
      <c r="C38" s="105">
        <f>IF(假设及结论!$Q$7="NO",0,FixedAssets/(1+假设及结论!$H$30)*假设及结论!$H$30)</f>
        <v>0</v>
      </c>
      <c r="D38" s="46"/>
      <c r="E38" s="46">
        <f>IF(E5&lt;=ConstructPeriod,0,IF($C$38-SUM($D$35:D35)&lt;0,0,$C$38-SUM($D$35:D35)))</f>
        <v>0</v>
      </c>
      <c r="F38" s="46">
        <f>IF(F5&lt;=ConstructPeriod,0,IF($C$38-SUM($D$35:E35)&lt;0,0,$C$38-SUM($D$35:E35)))</f>
        <v>0</v>
      </c>
      <c r="G38" s="46">
        <f>IF(G5&lt;=ConstructPeriod,0,IF($C$38-SUM($D$35:F35)&lt;0,0,$C$38-SUM($D$35:F35)))</f>
        <v>0</v>
      </c>
      <c r="H38" s="46">
        <f>IF(H5&lt;=ConstructPeriod,0,IF($C$38-SUM($D$35:G35)&lt;0,0,$C$38-SUM($D$35:G35)))</f>
        <v>0</v>
      </c>
      <c r="I38" s="46">
        <f>IF(I5&lt;=ConstructPeriod,0,IF($C$38-SUM($D$35:H35)&lt;0,0,$C$38-SUM($D$35:H35)))</f>
        <v>0</v>
      </c>
      <c r="J38" s="46">
        <f>IF(J5&lt;=ConstructPeriod,0,IF($C$38-SUM($D$35:I35)&lt;0,0,$C$38-SUM($D$35:I35)))</f>
        <v>0</v>
      </c>
      <c r="K38" s="46">
        <f>IF(K5&lt;=ConstructPeriod,0,IF($C$38-SUM($D$35:J35)&lt;0,0,$C$38-SUM($D$35:J35)))</f>
        <v>0</v>
      </c>
      <c r="L38" s="46">
        <f>IF(L5&lt;=ConstructPeriod,0,IF($C$38-SUM($D$35:K35)&lt;0,0,$C$38-SUM($D$35:K35)))</f>
        <v>0</v>
      </c>
      <c r="M38" s="46">
        <f>IF(M5&lt;=ConstructPeriod,0,IF($C$38-SUM($D$35:L35)&lt;0,0,$C$38-SUM($D$35:L35)))</f>
        <v>0</v>
      </c>
      <c r="N38" s="46">
        <f>IF(N5&lt;=ConstructPeriod,0,IF($C$38-SUM($D$35:M35)&lt;0,0,$C$38-SUM($D$35:M35)))</f>
        <v>0</v>
      </c>
      <c r="O38" s="46">
        <f>IF(O5&lt;=ConstructPeriod,0,IF($C$38-SUM($D$35:N35)&lt;0,0,$C$38-SUM($D$35:N35)))</f>
        <v>0</v>
      </c>
      <c r="P38" s="46">
        <f>IF(P5&lt;=ConstructPeriod,0,IF($C$38-SUM($D$35:O35)&lt;0,0,$C$38-SUM($D$35:O35)))</f>
        <v>0</v>
      </c>
      <c r="Q38" s="46">
        <f>IF(Q5&lt;=ConstructPeriod,0,IF($C$38-SUM($D$35:P35)&lt;0,0,$C$38-SUM($D$35:P35)))</f>
        <v>0</v>
      </c>
      <c r="R38" s="46">
        <f>IF(R5&lt;=ConstructPeriod,0,IF($C$38-SUM($D$35:Q35)&lt;0,0,$C$38-SUM($D$35:Q35)))</f>
        <v>0</v>
      </c>
      <c r="S38" s="46">
        <f>IF(S5&lt;=ConstructPeriod,0,IF($C$38-SUM($D$35:R35)&lt;0,0,$C$38-SUM($D$35:R35)))</f>
        <v>0</v>
      </c>
      <c r="T38" s="46">
        <f>IF(T5&lt;=ConstructPeriod,0,IF($C$38-SUM($D$35:S35)&lt;0,0,$C$38-SUM($D$35:S35)))</f>
        <v>0</v>
      </c>
      <c r="U38" s="46">
        <f>IF(U5&lt;=ConstructPeriod,0,IF($C$38-SUM($D$35:T35)&lt;0,0,$C$38-SUM($D$35:T35)))</f>
        <v>0</v>
      </c>
      <c r="V38" s="46">
        <f>IF(V5&lt;=ConstructPeriod,0,IF($C$38-SUM($D$35:U35)&lt;0,0,$C$38-SUM($D$35:U35)))</f>
        <v>0</v>
      </c>
      <c r="W38" s="46">
        <f>IF(W5&lt;=ConstructPeriod,0,IF($C$38-SUM($D$35:V35)&lt;0,0,$C$38-SUM($D$35:V35)))</f>
        <v>0</v>
      </c>
      <c r="X38" s="46">
        <f>IF(X5&lt;=ConstructPeriod,0,IF($C$38-SUM($D$35:W35)&lt;0,0,$C$38-SUM($D$35:W35)))</f>
        <v>0</v>
      </c>
      <c r="Y38" s="46">
        <f>IF(Y5&lt;=ConstructPeriod,0,IF($C$38-SUM($D$35:X35)&lt;0,0,$C$38-SUM($D$35:X35)))</f>
        <v>0</v>
      </c>
      <c r="Z38" s="46">
        <f>IF(Z5&lt;=ConstructPeriod,0,IF($C$38-SUM($D$35:Y35)&lt;0,0,$C$38-SUM($D$35:Y35)))</f>
        <v>0</v>
      </c>
      <c r="AA38" s="46">
        <f>IF(AA5&lt;=ConstructPeriod,0,IF($C$38-SUM($D$35:Z35)&lt;0,0,$C$38-SUM($D$35:Z35)))</f>
        <v>0</v>
      </c>
      <c r="AB38" s="46">
        <f>IF(AB5&lt;=ConstructPeriod,0,IF($C$38-SUM($D$35:AA35)&lt;0,0,$C$38-SUM($D$35:AA35)))</f>
        <v>0</v>
      </c>
      <c r="AC38" s="46">
        <f>IF(AC5&lt;=ConstructPeriod,0,IF($C$38-SUM($D$35:AB35)&lt;0,0,$C$38-SUM($D$35:AB35)))</f>
        <v>0</v>
      </c>
      <c r="AD38" s="46">
        <f>IF(AD5&lt;=ConstructPeriod,0,IF($C$38-SUM($D$35:AC35)&lt;0,0,$C$38-SUM($D$35:AC35)))</f>
        <v>0</v>
      </c>
    </row>
    <row r="39" spans="1:30">
      <c r="A39" s="43"/>
      <c r="B39" s="163" t="s">
        <v>1396</v>
      </c>
      <c r="C39" s="148">
        <f t="shared" si="6"/>
        <v>0</v>
      </c>
      <c r="D39" s="40"/>
      <c r="E39" s="46">
        <f>IF(E35&lt;E38,0,(E35-E38)/IF(假设及结论!$J$30="NO",1,2))</f>
        <v>0</v>
      </c>
      <c r="F39" s="46">
        <f>IF(F35&lt;F38,0,(F35-F38)/IF(假设及结论!$J$30="NO",1,2))</f>
        <v>0</v>
      </c>
      <c r="G39" s="46">
        <f>IF(G35&lt;G38,0,(G35-G38)/IF(假设及结论!$J$30="NO",1,2))</f>
        <v>0</v>
      </c>
      <c r="H39" s="46">
        <f>IF(H35&lt;H38,0,(H35-H38)/IF(假设及结论!$J$30="NO",1,2))</f>
        <v>0</v>
      </c>
      <c r="I39" s="46">
        <f>IF(I35&lt;I38,0,(I35-I38)/IF(假设及结论!$J$30="NO",1,2))</f>
        <v>0</v>
      </c>
      <c r="J39" s="46">
        <f>IF(J35&lt;J38,0,(J35-J38)/IF(假设及结论!$J$30="NO",1,2))</f>
        <v>0</v>
      </c>
      <c r="K39" s="46">
        <f>IF(K35&lt;K38,0,(K35-K38)/IF(假设及结论!$J$30="NO",1,2))</f>
        <v>0</v>
      </c>
      <c r="L39" s="46">
        <f>IF(L35&lt;L38,0,(L35-L38)*IF(假设及结论!$J$30="NO",100%,MID(假设及结论!$J$29,8,3)))</f>
        <v>0</v>
      </c>
      <c r="M39" s="46">
        <f>IF(M35&lt;M38,0,(M35-M38)/IF(假设及结论!$J$30="NO",1,2))</f>
        <v>0</v>
      </c>
      <c r="N39" s="46">
        <f>IF(N35&lt;N38,0,(N35-N38)/IF(假设及结论!$J$30="NO",1,2))</f>
        <v>0</v>
      </c>
      <c r="O39" s="46">
        <f>IF(O35&lt;O38,0,(O35-O38)/IF(假设及结论!$J$30="NO",1,2))</f>
        <v>0</v>
      </c>
      <c r="P39" s="46">
        <f>IF(P35&lt;P38,0,(P35-P38)/IF(假设及结论!$J$30="NO",1,2))</f>
        <v>0</v>
      </c>
      <c r="Q39" s="46">
        <f>IF(Q35&lt;Q38,0,(Q35-Q38)/IF(假设及结论!$J$30="NO",1,2))</f>
        <v>0</v>
      </c>
      <c r="R39" s="46">
        <f>IF(R35&lt;R38,0,(R35-R38)/IF(假设及结论!$J$30="NO",1,2))</f>
        <v>0</v>
      </c>
      <c r="S39" s="46">
        <f>IF(S35&lt;S38,0,(S35-S38)/IF(假设及结论!$J$30="NO",1,2))</f>
        <v>0</v>
      </c>
      <c r="T39" s="46">
        <f>IF(T35&lt;T38,0,(T35-T38)/IF(假设及结论!$J$30="NO",1,2))</f>
        <v>0</v>
      </c>
      <c r="U39" s="46">
        <f>IF(U35&lt;U38,0,(U35-U38)/IF(假设及结论!$J$30="NO",1,2))</f>
        <v>0</v>
      </c>
      <c r="V39" s="46">
        <f>IF(V35&lt;V38,0,(V35-V38)/IF(假设及结论!$J$30="NO",1,2))</f>
        <v>0</v>
      </c>
      <c r="W39" s="46">
        <f>IF(W35&lt;W38,0,(W35-W38)/IF(假设及结论!$J$30="NO",1,2))</f>
        <v>0</v>
      </c>
      <c r="X39" s="46">
        <f>IF(X35&lt;X38,0,(X35-X38)/IF(假设及结论!$J$30="NO",1,2))</f>
        <v>0</v>
      </c>
      <c r="Y39" s="46">
        <f>IF(Y35&lt;Y38,0,(Y35-Y38)/IF(假设及结论!$J$30="NO",1,2))</f>
        <v>0</v>
      </c>
      <c r="Z39" s="46">
        <f>IF(Z35&lt;Z38,0,(Z35-Z38)/IF(假设及结论!$J$30="NO",1,2))</f>
        <v>0</v>
      </c>
      <c r="AA39" s="46">
        <f>IF(AA35&lt;AA38,0,(AA35-AA38)/IF(假设及结论!$J$30="NO",1,2))</f>
        <v>0</v>
      </c>
      <c r="AB39" s="46">
        <f>IF(AB35&lt;AB38,0,(AB35-AB38)/IF(假设及结论!$J$30="NO",1,2))</f>
        <v>0</v>
      </c>
      <c r="AC39" s="46">
        <f>IF(AC35&lt;AC38,0,(AC35-AC38)/IF(假设及结论!$J$30="NO",1,2))</f>
        <v>0</v>
      </c>
      <c r="AD39" s="46">
        <f>IF(AD35&lt;AD38,0,(AD35-AD38)/IF(假设及结论!$J$30="NO",1,2))</f>
        <v>0</v>
      </c>
    </row>
    <row r="40" spans="1:30">
      <c r="A40" s="62"/>
      <c r="B40" s="165" t="s">
        <v>1397</v>
      </c>
      <c r="C40" s="148">
        <f t="shared" si="6"/>
        <v>0</v>
      </c>
      <c r="D40" s="166"/>
      <c r="E40" s="166">
        <f t="shared" ref="E40:AD40" si="13">E28-E39</f>
        <v>0</v>
      </c>
      <c r="F40" s="166">
        <f t="shared" si="13"/>
        <v>0</v>
      </c>
      <c r="G40" s="166">
        <f t="shared" si="13"/>
        <v>0</v>
      </c>
      <c r="H40" s="166">
        <f t="shared" si="13"/>
        <v>0</v>
      </c>
      <c r="I40" s="166">
        <f t="shared" si="13"/>
        <v>0</v>
      </c>
      <c r="J40" s="166">
        <f t="shared" si="13"/>
        <v>0</v>
      </c>
      <c r="K40" s="166">
        <f t="shared" si="13"/>
        <v>0</v>
      </c>
      <c r="L40" s="166">
        <f t="shared" si="13"/>
        <v>0</v>
      </c>
      <c r="M40" s="166">
        <f t="shared" si="13"/>
        <v>0</v>
      </c>
      <c r="N40" s="166">
        <f t="shared" si="13"/>
        <v>0</v>
      </c>
      <c r="O40" s="166">
        <f t="shared" si="13"/>
        <v>0</v>
      </c>
      <c r="P40" s="166">
        <f t="shared" si="13"/>
        <v>0</v>
      </c>
      <c r="Q40" s="166">
        <f t="shared" si="13"/>
        <v>0</v>
      </c>
      <c r="R40" s="166">
        <f t="shared" si="13"/>
        <v>0</v>
      </c>
      <c r="S40" s="166">
        <f t="shared" si="13"/>
        <v>0</v>
      </c>
      <c r="T40" s="166">
        <f t="shared" si="13"/>
        <v>0</v>
      </c>
      <c r="U40" s="166">
        <f t="shared" si="13"/>
        <v>0</v>
      </c>
      <c r="V40" s="166">
        <f t="shared" si="13"/>
        <v>0</v>
      </c>
      <c r="W40" s="166">
        <f t="shared" si="13"/>
        <v>0</v>
      </c>
      <c r="X40" s="166">
        <f t="shared" si="13"/>
        <v>0</v>
      </c>
      <c r="Y40" s="166">
        <f t="shared" si="13"/>
        <v>0</v>
      </c>
      <c r="Z40" s="166">
        <f t="shared" si="13"/>
        <v>0</v>
      </c>
      <c r="AA40" s="166">
        <f t="shared" si="13"/>
        <v>0</v>
      </c>
      <c r="AB40" s="166">
        <f t="shared" si="13"/>
        <v>0</v>
      </c>
      <c r="AC40" s="166">
        <f t="shared" si="13"/>
        <v>0</v>
      </c>
      <c r="AD40" s="166">
        <f t="shared" si="13"/>
        <v>0</v>
      </c>
    </row>
    <row r="41" spans="1:30">
      <c r="B41" s="163" t="s">
        <v>1398</v>
      </c>
      <c r="E41" s="52">
        <f t="shared" ref="E41:AD41" si="14">F38</f>
        <v>0</v>
      </c>
      <c r="F41" s="52">
        <f t="shared" si="14"/>
        <v>0</v>
      </c>
      <c r="G41" s="52">
        <f t="shared" si="14"/>
        <v>0</v>
      </c>
      <c r="H41" s="52">
        <f t="shared" si="14"/>
        <v>0</v>
      </c>
      <c r="I41" s="52">
        <f t="shared" si="14"/>
        <v>0</v>
      </c>
      <c r="J41" s="52">
        <f t="shared" si="14"/>
        <v>0</v>
      </c>
      <c r="K41" s="52">
        <f t="shared" si="14"/>
        <v>0</v>
      </c>
      <c r="L41" s="52">
        <f t="shared" si="14"/>
        <v>0</v>
      </c>
      <c r="M41" s="52">
        <f t="shared" si="14"/>
        <v>0</v>
      </c>
      <c r="N41" s="52">
        <f t="shared" si="14"/>
        <v>0</v>
      </c>
      <c r="O41" s="52">
        <f t="shared" si="14"/>
        <v>0</v>
      </c>
      <c r="P41" s="52">
        <f t="shared" si="14"/>
        <v>0</v>
      </c>
      <c r="Q41" s="52">
        <f t="shared" si="14"/>
        <v>0</v>
      </c>
      <c r="R41" s="52">
        <f t="shared" si="14"/>
        <v>0</v>
      </c>
      <c r="S41" s="52">
        <f t="shared" si="14"/>
        <v>0</v>
      </c>
      <c r="T41" s="52">
        <f t="shared" si="14"/>
        <v>0</v>
      </c>
      <c r="U41" s="52">
        <f t="shared" si="14"/>
        <v>0</v>
      </c>
      <c r="V41" s="52">
        <f t="shared" si="14"/>
        <v>0</v>
      </c>
      <c r="W41" s="52">
        <f t="shared" si="14"/>
        <v>0</v>
      </c>
      <c r="X41" s="52">
        <f t="shared" si="14"/>
        <v>0</v>
      </c>
      <c r="Y41" s="52">
        <f t="shared" si="14"/>
        <v>0</v>
      </c>
      <c r="Z41" s="52">
        <f t="shared" si="14"/>
        <v>0</v>
      </c>
      <c r="AA41" s="52">
        <f t="shared" si="14"/>
        <v>0</v>
      </c>
      <c r="AB41" s="52">
        <f t="shared" si="14"/>
        <v>0</v>
      </c>
      <c r="AC41" s="52">
        <f t="shared" si="14"/>
        <v>0</v>
      </c>
      <c r="AD41" s="52">
        <f t="shared" si="14"/>
        <v>0</v>
      </c>
    </row>
    <row r="42" spans="1:30">
      <c r="B42" s="167" t="s">
        <v>1399</v>
      </c>
      <c r="E42" s="26">
        <f t="shared" ref="E42:L42" si="15">IF(E35&lt;E38,0,E35-E38-E39)</f>
        <v>0</v>
      </c>
      <c r="F42" s="26">
        <f t="shared" si="15"/>
        <v>0</v>
      </c>
      <c r="G42" s="26">
        <f t="shared" si="15"/>
        <v>0</v>
      </c>
      <c r="H42" s="26">
        <f t="shared" si="15"/>
        <v>0</v>
      </c>
      <c r="I42" s="26">
        <f t="shared" si="15"/>
        <v>0</v>
      </c>
      <c r="J42" s="26">
        <f t="shared" si="15"/>
        <v>0</v>
      </c>
      <c r="K42" s="26">
        <f t="shared" si="15"/>
        <v>0</v>
      </c>
      <c r="L42" s="26">
        <f t="shared" si="15"/>
        <v>0</v>
      </c>
      <c r="M42" s="26">
        <f t="shared" ref="M42:AD42" si="16">IF(M35&lt;M38,0,M35-M38-M39)</f>
        <v>0</v>
      </c>
      <c r="N42" s="26">
        <f t="shared" si="16"/>
        <v>0</v>
      </c>
      <c r="O42" s="26">
        <f t="shared" si="16"/>
        <v>0</v>
      </c>
      <c r="P42" s="26">
        <f t="shared" si="16"/>
        <v>0</v>
      </c>
      <c r="Q42" s="26">
        <f t="shared" si="16"/>
        <v>0</v>
      </c>
      <c r="R42" s="26">
        <f t="shared" si="16"/>
        <v>0</v>
      </c>
      <c r="S42" s="26">
        <f t="shared" si="16"/>
        <v>0</v>
      </c>
      <c r="T42" s="26">
        <f t="shared" si="16"/>
        <v>0</v>
      </c>
      <c r="U42" s="26">
        <f t="shared" si="16"/>
        <v>0</v>
      </c>
      <c r="V42" s="26">
        <f t="shared" si="16"/>
        <v>0</v>
      </c>
      <c r="W42" s="26">
        <f t="shared" si="16"/>
        <v>0</v>
      </c>
      <c r="X42" s="26">
        <f t="shared" si="16"/>
        <v>0</v>
      </c>
      <c r="Y42" s="26">
        <f t="shared" si="16"/>
        <v>0</v>
      </c>
      <c r="Z42" s="26">
        <f t="shared" si="16"/>
        <v>0</v>
      </c>
      <c r="AA42" s="26">
        <f t="shared" si="16"/>
        <v>0</v>
      </c>
      <c r="AB42" s="26">
        <f t="shared" si="16"/>
        <v>0</v>
      </c>
      <c r="AC42" s="26">
        <f t="shared" si="16"/>
        <v>0</v>
      </c>
      <c r="AD42" s="26">
        <f t="shared" si="16"/>
        <v>0</v>
      </c>
    </row>
    <row r="43" spans="1:30">
      <c r="B43" s="26"/>
      <c r="X43" s="26"/>
    </row>
    <row r="44" spans="1:30">
      <c r="B44" s="26"/>
      <c r="X44" s="26"/>
    </row>
    <row r="45" spans="1:30">
      <c r="B45" s="26"/>
      <c r="F45" s="168"/>
      <c r="M45" s="120"/>
      <c r="X45" s="26"/>
    </row>
    <row r="46" spans="1:30">
      <c r="B46" s="26"/>
      <c r="X46" s="26"/>
    </row>
    <row r="47" spans="1:30">
      <c r="B47" s="26"/>
      <c r="X47" s="26"/>
    </row>
    <row r="48" spans="1:30">
      <c r="B48" s="26"/>
      <c r="X48" s="26"/>
    </row>
    <row r="49" spans="2:24">
      <c r="B49" s="26"/>
      <c r="X49" s="26"/>
    </row>
    <row r="50" spans="2:24">
      <c r="B50" s="26"/>
      <c r="X50" s="26"/>
    </row>
    <row r="51" spans="2:24">
      <c r="B51" s="26"/>
      <c r="X51" s="26"/>
    </row>
    <row r="52" spans="2:24">
      <c r="B52" s="26"/>
      <c r="X52" s="26"/>
    </row>
    <row r="53" spans="2:24">
      <c r="B53" s="26"/>
      <c r="X53" s="26"/>
    </row>
    <row r="54" spans="2:24">
      <c r="B54" s="26"/>
      <c r="X54" s="26"/>
    </row>
    <row r="55" spans="2:24">
      <c r="B55" s="26"/>
      <c r="X55" s="26"/>
    </row>
    <row r="56" spans="2:24">
      <c r="B56" s="26"/>
      <c r="X56" s="26"/>
    </row>
    <row r="57" spans="2:24">
      <c r="B57" s="26"/>
      <c r="X57" s="26"/>
    </row>
    <row r="58" spans="2:24">
      <c r="B58" s="26"/>
      <c r="X58" s="26"/>
    </row>
    <row r="59" spans="2:24">
      <c r="B59" s="26"/>
      <c r="X59" s="26"/>
    </row>
    <row r="60" spans="2:24">
      <c r="B60" s="26"/>
      <c r="X60" s="26"/>
    </row>
    <row r="61" spans="2:24">
      <c r="B61" s="26"/>
      <c r="X61" s="26"/>
    </row>
    <row r="62" spans="2:24">
      <c r="B62" s="26"/>
      <c r="X62" s="26"/>
    </row>
    <row r="63" spans="2:24">
      <c r="B63" s="26"/>
      <c r="X63" s="26"/>
    </row>
    <row r="64" spans="2:24">
      <c r="B64" s="26"/>
      <c r="X64" s="26"/>
    </row>
    <row r="65" spans="2:24">
      <c r="B65" s="26"/>
      <c r="X65" s="26"/>
    </row>
    <row r="66" spans="2:24">
      <c r="B66" s="26"/>
      <c r="X66" s="26"/>
    </row>
    <row r="67" spans="2:24">
      <c r="B67" s="26"/>
      <c r="X67" s="26"/>
    </row>
    <row r="68" spans="2:24">
      <c r="B68" s="26"/>
      <c r="X68" s="26"/>
    </row>
    <row r="69" spans="2:24">
      <c r="B69" s="26"/>
      <c r="X69" s="26"/>
    </row>
    <row r="70" spans="2:24">
      <c r="B70" s="26"/>
      <c r="X70" s="26"/>
    </row>
    <row r="71" spans="2:24">
      <c r="B71" s="26"/>
    </row>
    <row r="72" spans="2:24">
      <c r="B72" s="26"/>
    </row>
    <row r="73" spans="2:24">
      <c r="B73" s="26"/>
    </row>
    <row r="74" spans="2:24">
      <c r="B74" s="26"/>
    </row>
  </sheetData>
  <mergeCells count="5">
    <mergeCell ref="A2:X2"/>
    <mergeCell ref="E3:N3"/>
    <mergeCell ref="D4:AD4"/>
    <mergeCell ref="B4:B5"/>
    <mergeCell ref="C4:C5"/>
  </mergeCells>
  <printOptions horizontalCentered="1"/>
  <pageMargins left="0" right="0" top="0.984027777777778" bottom="0.984027777777778" header="0.511805555555556" footer="0.511805555555556"/>
  <pageSetup paperSize="9" fitToHeight="4" orientation="portrait" blackAndWhite="1"/>
  <headerFooter alignWithMargins="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48"/>
  <sheetViews>
    <sheetView showZeros="0" view="pageBreakPreview" zoomScale="85" zoomScaleNormal="75" workbookViewId="0">
      <pane xSplit="2" ySplit="5" topLeftCell="C6" activePane="bottomRight" state="frozenSplit"/>
      <selection/>
      <selection pane="topRight"/>
      <selection pane="bottomLeft"/>
      <selection pane="bottomRight" activeCell="I44" sqref="I44"/>
    </sheetView>
  </sheetViews>
  <sheetFormatPr defaultColWidth="8.83035714285714" defaultRowHeight="17.6"/>
  <cols>
    <col min="1" max="1" width="6" style="25" customWidth="1"/>
    <col min="2" max="2" width="27" style="25" customWidth="1"/>
    <col min="3" max="3" width="10.1607142857143" style="25" customWidth="1"/>
    <col min="4" max="4" width="9" style="25" customWidth="1"/>
    <col min="5" max="5" width="11" style="25" customWidth="1"/>
    <col min="6" max="6" width="9" style="25" customWidth="1"/>
    <col min="7" max="7" width="13.1607142857143" style="25" customWidth="1"/>
    <col min="8" max="8" width="9.66071428571429" style="25" customWidth="1"/>
    <col min="9" max="14" width="9" style="25" customWidth="1"/>
    <col min="15" max="17" width="7.16071428571429" style="25" customWidth="1"/>
    <col min="18" max="23" width="7.5" style="25" customWidth="1"/>
    <col min="24" max="24" width="7.33035714285714" style="25" customWidth="1"/>
    <col min="25" max="25" width="7.83035714285714" style="25" customWidth="1"/>
    <col min="26" max="26" width="8.66071428571429" style="25" customWidth="1"/>
    <col min="27" max="27" width="8.16071428571429" style="25" customWidth="1"/>
    <col min="28" max="28" width="7.16071428571429" style="25" customWidth="1"/>
    <col min="29" max="29" width="8.83035714285714" style="25" customWidth="1"/>
    <col min="30" max="16384" width="8.83035714285714" style="25"/>
  </cols>
  <sheetData>
    <row r="1" ht="18" customHeight="1" spans="1:29">
      <c r="A1" s="28"/>
      <c r="B1" s="35"/>
      <c r="C1" s="35"/>
      <c r="D1" s="35"/>
      <c r="E1" s="35"/>
      <c r="F1" s="35"/>
      <c r="G1" s="35"/>
      <c r="H1" s="35"/>
      <c r="I1" s="35"/>
      <c r="J1" s="35"/>
      <c r="K1" s="35"/>
      <c r="L1" s="35"/>
      <c r="M1" s="35"/>
    </row>
    <row r="2" ht="25" customHeight="1" spans="1:29">
      <c r="A2" s="33" t="s">
        <v>1400</v>
      </c>
      <c r="B2" s="33"/>
      <c r="C2" s="33"/>
      <c r="D2" s="33"/>
      <c r="E2" s="33"/>
      <c r="F2" s="33"/>
      <c r="G2" s="33"/>
      <c r="H2" s="33"/>
      <c r="I2" s="33"/>
      <c r="J2" s="33"/>
      <c r="K2" s="33"/>
      <c r="L2" s="33"/>
      <c r="M2" s="33"/>
      <c r="N2" s="33"/>
      <c r="O2" s="33"/>
      <c r="P2" s="33"/>
      <c r="Q2" s="33"/>
      <c r="R2" s="33"/>
      <c r="S2" s="33"/>
      <c r="T2" s="33"/>
      <c r="U2" s="33"/>
      <c r="V2" s="33"/>
      <c r="W2" s="33"/>
    </row>
    <row r="3" ht="18" customHeight="1" spans="1:29">
      <c r="A3" s="35"/>
      <c r="B3" s="35"/>
      <c r="C3" s="35"/>
      <c r="D3" s="35"/>
      <c r="E3" s="35"/>
      <c r="F3" s="35"/>
      <c r="G3" s="35"/>
      <c r="H3" s="35"/>
      <c r="I3" s="35"/>
      <c r="J3" s="35"/>
      <c r="K3" s="35"/>
      <c r="L3" s="35"/>
      <c r="W3" s="125" t="s">
        <v>1401</v>
      </c>
    </row>
    <row r="4" ht="18" customHeight="1" spans="1:29">
      <c r="A4" s="38" t="s">
        <v>724</v>
      </c>
      <c r="B4" s="100" t="s">
        <v>1402</v>
      </c>
      <c r="C4" s="126" t="s">
        <v>726</v>
      </c>
      <c r="D4" s="127"/>
      <c r="E4" s="127"/>
      <c r="F4" s="127"/>
      <c r="G4" s="127"/>
      <c r="H4" s="127"/>
      <c r="I4" s="127"/>
      <c r="J4" s="127"/>
      <c r="K4" s="127"/>
      <c r="L4" s="127"/>
      <c r="M4" s="127"/>
      <c r="N4" s="127"/>
      <c r="O4" s="127"/>
      <c r="P4" s="127"/>
      <c r="Q4" s="127"/>
      <c r="R4" s="127"/>
      <c r="S4" s="127"/>
      <c r="T4" s="127"/>
      <c r="U4" s="127"/>
      <c r="V4" s="127"/>
      <c r="W4" s="127"/>
      <c r="X4" s="127"/>
      <c r="Y4" s="127"/>
      <c r="Z4" s="127"/>
      <c r="AA4" s="127"/>
      <c r="AB4" s="127"/>
      <c r="AC4" s="128"/>
    </row>
    <row r="5" ht="18" customHeight="1" spans="1:29">
      <c r="A5" s="43" t="s">
        <v>727</v>
      </c>
      <c r="B5" s="104"/>
      <c r="C5" s="43">
        <v>1</v>
      </c>
      <c r="D5" s="43">
        <v>2</v>
      </c>
      <c r="E5" s="43">
        <v>3</v>
      </c>
      <c r="F5" s="43">
        <v>4</v>
      </c>
      <c r="G5" s="43">
        <v>5</v>
      </c>
      <c r="H5" s="43">
        <v>6</v>
      </c>
      <c r="I5" s="43">
        <v>7</v>
      </c>
      <c r="J5" s="43">
        <v>8</v>
      </c>
      <c r="K5" s="43">
        <v>9</v>
      </c>
      <c r="L5" s="43">
        <v>10</v>
      </c>
      <c r="M5" s="43">
        <v>11</v>
      </c>
      <c r="N5" s="43">
        <v>12</v>
      </c>
      <c r="O5" s="43">
        <v>13</v>
      </c>
      <c r="P5" s="43">
        <v>14</v>
      </c>
      <c r="Q5" s="43">
        <v>15</v>
      </c>
      <c r="R5" s="43">
        <v>16</v>
      </c>
      <c r="S5" s="43">
        <v>17</v>
      </c>
      <c r="T5" s="43">
        <v>18</v>
      </c>
      <c r="U5" s="43">
        <v>19</v>
      </c>
      <c r="V5" s="43">
        <v>20</v>
      </c>
      <c r="W5" s="43">
        <v>21</v>
      </c>
      <c r="X5" s="43">
        <v>22</v>
      </c>
      <c r="Y5" s="43">
        <v>23</v>
      </c>
      <c r="Z5" s="43">
        <v>24</v>
      </c>
      <c r="AA5" s="43">
        <v>25</v>
      </c>
      <c r="AB5" s="43">
        <v>26</v>
      </c>
      <c r="AC5" s="43">
        <v>27</v>
      </c>
    </row>
    <row r="6" ht="18" customHeight="1" spans="1:29">
      <c r="A6" s="129">
        <v>1</v>
      </c>
      <c r="B6" s="130" t="s">
        <v>1403</v>
      </c>
      <c r="C6" s="131">
        <f t="shared" ref="C6:W6" si="0">C7-C11</f>
        <v>0</v>
      </c>
      <c r="D6" s="131">
        <f t="shared" si="0"/>
        <v>35363.7314692894</v>
      </c>
      <c r="E6" s="131">
        <f t="shared" si="0"/>
        <v>34965.6454564143</v>
      </c>
      <c r="F6" s="131">
        <f t="shared" si="0"/>
        <v>34791.7947696905</v>
      </c>
      <c r="G6" s="131">
        <f t="shared" si="0"/>
        <v>34617.9421053925</v>
      </c>
      <c r="H6" s="131">
        <f t="shared" si="0"/>
        <v>34444.0874615428</v>
      </c>
      <c r="I6" s="131">
        <f t="shared" si="0"/>
        <v>34017.1058468743</v>
      </c>
      <c r="J6" s="131">
        <f t="shared" si="0"/>
        <v>33843.2472379803</v>
      </c>
      <c r="K6" s="131">
        <f t="shared" si="0"/>
        <v>33669.3866435899</v>
      </c>
      <c r="L6" s="131">
        <f t="shared" si="0"/>
        <v>33495.5240617176</v>
      </c>
      <c r="M6" s="131">
        <f t="shared" si="0"/>
        <v>31270.5724344893</v>
      </c>
      <c r="N6" s="131">
        <f t="shared" si="0"/>
        <v>30841.5168816099</v>
      </c>
      <c r="O6" s="131">
        <f t="shared" si="0"/>
        <v>30640.2720249839</v>
      </c>
      <c r="P6" s="131">
        <f t="shared" si="0"/>
        <v>30439.0253724585</v>
      </c>
      <c r="Q6" s="131">
        <f t="shared" si="0"/>
        <v>30237.7769222379</v>
      </c>
      <c r="R6" s="131">
        <f t="shared" si="0"/>
        <v>30036.5266725242</v>
      </c>
      <c r="S6" s="131">
        <f t="shared" si="0"/>
        <v>29607.4621311595</v>
      </c>
      <c r="T6" s="131">
        <f t="shared" si="0"/>
        <v>29471.1148532601</v>
      </c>
      <c r="U6" s="131">
        <f t="shared" si="0"/>
        <v>29334.7657704638</v>
      </c>
      <c r="V6" s="131">
        <f t="shared" si="0"/>
        <v>29198.4148809657</v>
      </c>
      <c r="W6" s="131">
        <f t="shared" si="0"/>
        <v>29062.0621829593</v>
      </c>
      <c r="X6" s="131">
        <f t="shared" ref="X6:AC6" si="1">X7-X11</f>
        <v>27229.7702464108</v>
      </c>
      <c r="Y6" s="131">
        <f t="shared" si="1"/>
        <v>27093.41392596</v>
      </c>
      <c r="Z6" s="131">
        <f t="shared" si="1"/>
        <v>26957.0557915699</v>
      </c>
      <c r="AA6" s="131">
        <f t="shared" si="1"/>
        <v>26820.6958414265</v>
      </c>
      <c r="AB6" s="131">
        <f t="shared" si="1"/>
        <v>26684.3340737139</v>
      </c>
      <c r="AC6" s="131">
        <f t="shared" si="1"/>
        <v>-147.55419</v>
      </c>
    </row>
    <row r="7" ht="18" customHeight="1" spans="1:29">
      <c r="A7" s="42">
        <v>1.1</v>
      </c>
      <c r="B7" s="91" t="s">
        <v>1404</v>
      </c>
      <c r="C7" s="45">
        <f t="shared" ref="C7:W7" si="2">SUM(C8:C10)</f>
        <v>0</v>
      </c>
      <c r="D7" s="45">
        <f t="shared" si="2"/>
        <v>39737.25</v>
      </c>
      <c r="E7" s="45">
        <f t="shared" si="2"/>
        <v>39339.8775</v>
      </c>
      <c r="F7" s="45">
        <f t="shared" si="2"/>
        <v>39180.9285</v>
      </c>
      <c r="G7" s="45">
        <f t="shared" si="2"/>
        <v>39021.9795</v>
      </c>
      <c r="H7" s="45">
        <f t="shared" si="2"/>
        <v>38863.0305</v>
      </c>
      <c r="I7" s="45">
        <f t="shared" si="2"/>
        <v>38704.0815</v>
      </c>
      <c r="J7" s="45">
        <f t="shared" si="2"/>
        <v>38545.1325</v>
      </c>
      <c r="K7" s="45">
        <f t="shared" si="2"/>
        <v>38386.1835</v>
      </c>
      <c r="L7" s="45">
        <f t="shared" si="2"/>
        <v>38227.2345</v>
      </c>
      <c r="M7" s="45">
        <f t="shared" si="2"/>
        <v>38068.2855</v>
      </c>
      <c r="N7" s="45">
        <f t="shared" si="2"/>
        <v>37909.3365</v>
      </c>
      <c r="O7" s="45">
        <f t="shared" si="2"/>
        <v>37750.3875</v>
      </c>
      <c r="P7" s="45">
        <f t="shared" si="2"/>
        <v>37591.4385</v>
      </c>
      <c r="Q7" s="45">
        <f t="shared" si="2"/>
        <v>37432.4895</v>
      </c>
      <c r="R7" s="45">
        <f t="shared" si="2"/>
        <v>37273.5405</v>
      </c>
      <c r="S7" s="45">
        <f t="shared" si="2"/>
        <v>37114.5915</v>
      </c>
      <c r="T7" s="45">
        <f t="shared" si="2"/>
        <v>36955.6425</v>
      </c>
      <c r="U7" s="45">
        <f t="shared" si="2"/>
        <v>36796.6935</v>
      </c>
      <c r="V7" s="45">
        <f t="shared" si="2"/>
        <v>36637.7445</v>
      </c>
      <c r="W7" s="45">
        <f t="shared" si="2"/>
        <v>36478.7955</v>
      </c>
      <c r="X7" s="45">
        <f t="shared" ref="X7:AC7" si="3">SUM(X8:X10)</f>
        <v>36319.8465</v>
      </c>
      <c r="Y7" s="45">
        <f t="shared" si="3"/>
        <v>36160.8975</v>
      </c>
      <c r="Z7" s="45">
        <f t="shared" si="3"/>
        <v>36001.9485</v>
      </c>
      <c r="AA7" s="45">
        <f t="shared" si="3"/>
        <v>35842.9995</v>
      </c>
      <c r="AB7" s="45">
        <f t="shared" si="3"/>
        <v>35684.0505</v>
      </c>
      <c r="AC7" s="45">
        <f t="shared" si="3"/>
        <v>0</v>
      </c>
    </row>
    <row r="8" ht="18" customHeight="1" spans="1:29">
      <c r="A8" s="42" t="s">
        <v>179</v>
      </c>
      <c r="B8" s="91" t="s">
        <v>764</v>
      </c>
      <c r="C8" s="45">
        <f>损益表!D6</f>
        <v>0</v>
      </c>
      <c r="D8" s="45">
        <f>销售收入!E6</f>
        <v>39737.25</v>
      </c>
      <c r="E8" s="45">
        <f>销售收入!F6</f>
        <v>39339.8775</v>
      </c>
      <c r="F8" s="45">
        <f>销售收入!G6</f>
        <v>39180.9285</v>
      </c>
      <c r="G8" s="45">
        <f>销售收入!H6</f>
        <v>39021.9795</v>
      </c>
      <c r="H8" s="45">
        <f>销售收入!I6</f>
        <v>38863.0305</v>
      </c>
      <c r="I8" s="45">
        <f>销售收入!J6</f>
        <v>38704.0815</v>
      </c>
      <c r="J8" s="45">
        <f>销售收入!K6</f>
        <v>38545.1325</v>
      </c>
      <c r="K8" s="45">
        <f>销售收入!L6</f>
        <v>38386.1835</v>
      </c>
      <c r="L8" s="45">
        <f>销售收入!M6</f>
        <v>38227.2345</v>
      </c>
      <c r="M8" s="45">
        <f>销售收入!N6</f>
        <v>38068.2855</v>
      </c>
      <c r="N8" s="45">
        <f>销售收入!O6</f>
        <v>37909.3365</v>
      </c>
      <c r="O8" s="45">
        <f>销售收入!P6</f>
        <v>37750.3875</v>
      </c>
      <c r="P8" s="45">
        <f>销售收入!Q6</f>
        <v>37591.4385</v>
      </c>
      <c r="Q8" s="45">
        <f>销售收入!R6</f>
        <v>37432.4895</v>
      </c>
      <c r="R8" s="45">
        <f>销售收入!S6</f>
        <v>37273.5405</v>
      </c>
      <c r="S8" s="45">
        <f>销售收入!T6</f>
        <v>37114.5915</v>
      </c>
      <c r="T8" s="45">
        <f>销售收入!U6</f>
        <v>36955.6425</v>
      </c>
      <c r="U8" s="45">
        <f>销售收入!V6</f>
        <v>36796.6935</v>
      </c>
      <c r="V8" s="45">
        <f>销售收入!W6</f>
        <v>36637.7445</v>
      </c>
      <c r="W8" s="45">
        <f>销售收入!X6</f>
        <v>36478.7955</v>
      </c>
      <c r="X8" s="45">
        <f>销售收入!Y6</f>
        <v>36319.8465</v>
      </c>
      <c r="Y8" s="45">
        <f>销售收入!Z6</f>
        <v>36160.8975</v>
      </c>
      <c r="Z8" s="45">
        <f>销售收入!AA6</f>
        <v>36001.9485</v>
      </c>
      <c r="AA8" s="45">
        <f>销售收入!AB6</f>
        <v>35842.9995</v>
      </c>
      <c r="AB8" s="45">
        <f>销售收入!AC6</f>
        <v>35684.0505</v>
      </c>
      <c r="AC8" s="45">
        <f>销售收入!AD6</f>
        <v>0</v>
      </c>
    </row>
    <row r="9" ht="18" customHeight="1" spans="1:29">
      <c r="A9" s="42" t="s">
        <v>181</v>
      </c>
      <c r="B9" s="91" t="s">
        <v>1405</v>
      </c>
      <c r="C9" s="45">
        <f>销售收入!D36</f>
        <v>0</v>
      </c>
      <c r="D9" s="45">
        <f>销售收入!E28</f>
        <v>0</v>
      </c>
      <c r="E9" s="45">
        <f>销售收入!F28</f>
        <v>0</v>
      </c>
      <c r="F9" s="45">
        <f>销售收入!G28</f>
        <v>0</v>
      </c>
      <c r="G9" s="45">
        <f>销售收入!H28</f>
        <v>0</v>
      </c>
      <c r="H9" s="45">
        <f>销售收入!I28</f>
        <v>0</v>
      </c>
      <c r="I9" s="45">
        <f>销售收入!J28</f>
        <v>0</v>
      </c>
      <c r="J9" s="45">
        <f>销售收入!K28</f>
        <v>0</v>
      </c>
      <c r="K9" s="45">
        <f>销售收入!L28</f>
        <v>0</v>
      </c>
      <c r="L9" s="45">
        <f>销售收入!M28</f>
        <v>0</v>
      </c>
      <c r="M9" s="45">
        <f>销售收入!N28</f>
        <v>0</v>
      </c>
      <c r="N9" s="45">
        <f>销售收入!O28</f>
        <v>0</v>
      </c>
      <c r="O9" s="45">
        <f>销售收入!P28</f>
        <v>0</v>
      </c>
      <c r="P9" s="45">
        <f>销售收入!Q28</f>
        <v>0</v>
      </c>
      <c r="Q9" s="45">
        <f>销售收入!R28</f>
        <v>0</v>
      </c>
      <c r="R9" s="45">
        <f>销售收入!S28</f>
        <v>0</v>
      </c>
      <c r="S9" s="45">
        <f>销售收入!T28</f>
        <v>0</v>
      </c>
      <c r="T9" s="45">
        <f>销售收入!U28</f>
        <v>0</v>
      </c>
      <c r="U9" s="45">
        <f>销售收入!V28</f>
        <v>0</v>
      </c>
      <c r="V9" s="45">
        <f>销售收入!W28</f>
        <v>0</v>
      </c>
      <c r="W9" s="45">
        <f>销售收入!X28</f>
        <v>0</v>
      </c>
      <c r="X9" s="45">
        <f>销售收入!Y28</f>
        <v>0</v>
      </c>
      <c r="Y9" s="45">
        <f>销售收入!Z28</f>
        <v>0</v>
      </c>
      <c r="Z9" s="45">
        <f>销售收入!AA28</f>
        <v>0</v>
      </c>
      <c r="AA9" s="45">
        <f>销售收入!AB28</f>
        <v>0</v>
      </c>
      <c r="AB9" s="45">
        <f>销售收入!AC28</f>
        <v>0</v>
      </c>
      <c r="AC9" s="45">
        <f>销售收入!AD28</f>
        <v>0</v>
      </c>
    </row>
    <row r="10" ht="18" customHeight="1" spans="1:29">
      <c r="A10" s="42" t="s">
        <v>1384</v>
      </c>
      <c r="B10" s="91" t="s">
        <v>1406</v>
      </c>
      <c r="C10" s="45"/>
      <c r="D10" s="45"/>
      <c r="E10" s="45"/>
      <c r="F10" s="45"/>
      <c r="G10" s="45"/>
      <c r="H10" s="45"/>
      <c r="I10" s="45"/>
      <c r="J10" s="45"/>
      <c r="K10" s="45"/>
      <c r="L10" s="45"/>
      <c r="M10" s="45"/>
      <c r="N10" s="45"/>
      <c r="O10" s="45"/>
      <c r="P10" s="45"/>
      <c r="Q10" s="45"/>
      <c r="R10" s="45"/>
      <c r="S10" s="45"/>
      <c r="T10" s="45"/>
      <c r="U10" s="45"/>
      <c r="V10" s="45"/>
      <c r="W10" s="45"/>
      <c r="X10" s="45"/>
      <c r="Y10" s="45"/>
      <c r="Z10" s="45"/>
      <c r="AA10" s="45"/>
      <c r="AB10" s="45"/>
      <c r="AC10" s="45"/>
    </row>
    <row r="11" ht="18" customHeight="1" spans="1:29">
      <c r="A11" s="42">
        <v>1.2</v>
      </c>
      <c r="B11" s="91" t="s">
        <v>1407</v>
      </c>
      <c r="C11" s="45">
        <f>SUM(C12:C18)</f>
        <v>0</v>
      </c>
      <c r="D11" s="45">
        <f>SUM(D12:D18)</f>
        <v>4373.51853071055</v>
      </c>
      <c r="E11" s="45">
        <f t="shared" ref="E11:W11" si="4">SUM(E12:E18)</f>
        <v>4374.23204358569</v>
      </c>
      <c r="F11" s="45">
        <f t="shared" si="4"/>
        <v>4389.13373030946</v>
      </c>
      <c r="G11" s="45">
        <f t="shared" si="4"/>
        <v>4404.03739460745</v>
      </c>
      <c r="H11" s="45">
        <f t="shared" si="4"/>
        <v>4418.94303845724</v>
      </c>
      <c r="I11" s="45">
        <f t="shared" si="4"/>
        <v>4686.9756531257</v>
      </c>
      <c r="J11" s="45">
        <f t="shared" si="4"/>
        <v>4701.88526201971</v>
      </c>
      <c r="K11" s="45">
        <f t="shared" si="4"/>
        <v>4716.79685641013</v>
      </c>
      <c r="L11" s="45">
        <f t="shared" si="4"/>
        <v>4731.71043828243</v>
      </c>
      <c r="M11" s="45">
        <f t="shared" si="4"/>
        <v>6797.71306551072</v>
      </c>
      <c r="N11" s="45">
        <f t="shared" si="4"/>
        <v>7067.81961839005</v>
      </c>
      <c r="O11" s="45">
        <f t="shared" si="4"/>
        <v>7110.11547501607</v>
      </c>
      <c r="P11" s="45">
        <f t="shared" si="4"/>
        <v>7152.41312754147</v>
      </c>
      <c r="Q11" s="45">
        <f t="shared" si="4"/>
        <v>7194.71257776214</v>
      </c>
      <c r="R11" s="45">
        <f t="shared" si="4"/>
        <v>7237.01382747578</v>
      </c>
      <c r="S11" s="45">
        <f t="shared" si="4"/>
        <v>7507.12936884047</v>
      </c>
      <c r="T11" s="45">
        <f t="shared" si="4"/>
        <v>7484.52764673991</v>
      </c>
      <c r="U11" s="45">
        <f t="shared" si="4"/>
        <v>7461.92772953621</v>
      </c>
      <c r="V11" s="45">
        <f t="shared" si="4"/>
        <v>7439.32961903425</v>
      </c>
      <c r="W11" s="45">
        <f t="shared" si="4"/>
        <v>7416.73331704074</v>
      </c>
      <c r="X11" s="45">
        <f t="shared" ref="X11:AC11" si="5">SUM(X12:X18)</f>
        <v>9090.07625358923</v>
      </c>
      <c r="Y11" s="45">
        <f t="shared" si="5"/>
        <v>9067.48357403995</v>
      </c>
      <c r="Z11" s="45">
        <f t="shared" si="5"/>
        <v>9044.89270843007</v>
      </c>
      <c r="AA11" s="45">
        <f t="shared" si="5"/>
        <v>9022.30365857354</v>
      </c>
      <c r="AB11" s="45">
        <f t="shared" si="5"/>
        <v>8999.71642628609</v>
      </c>
      <c r="AC11" s="45">
        <f t="shared" si="5"/>
        <v>147.55419</v>
      </c>
    </row>
    <row r="12" ht="18" customHeight="1" spans="1:29">
      <c r="A12" s="42" t="s">
        <v>185</v>
      </c>
      <c r="B12" s="117" t="s">
        <v>770</v>
      </c>
      <c r="C12" s="45">
        <f>总成本!D17</f>
        <v>0</v>
      </c>
      <c r="D12" s="45">
        <f>总成本!E17</f>
        <v>3001.18505714455</v>
      </c>
      <c r="E12" s="45">
        <f>总成本!F17</f>
        <v>3003.26463464455</v>
      </c>
      <c r="F12" s="45">
        <f>总成本!G17</f>
        <v>3005.34629172205</v>
      </c>
      <c r="G12" s="45">
        <f>总成本!H17</f>
        <v>3007.43003045662</v>
      </c>
      <c r="H12" s="45">
        <f>总成本!I17</f>
        <v>3009.51585292993</v>
      </c>
      <c r="I12" s="45">
        <f>总成本!J17</f>
        <v>3278.05111837027</v>
      </c>
      <c r="J12" s="45">
        <f>总成本!K17</f>
        <v>3280.14111457435</v>
      </c>
      <c r="K12" s="45">
        <f>总成本!L17</f>
        <v>3282.23320077463</v>
      </c>
      <c r="L12" s="45">
        <f>总成本!M17</f>
        <v>3284.32737906112</v>
      </c>
      <c r="M12" s="45">
        <f>总成本!N17</f>
        <v>3286.42365152589</v>
      </c>
      <c r="N12" s="45">
        <f>总成本!O17</f>
        <v>3554.96937740767</v>
      </c>
      <c r="O12" s="45">
        <f>总成本!P17</f>
        <v>3557.06984451365</v>
      </c>
      <c r="P12" s="45">
        <f>总成本!Q17</f>
        <v>3559.17241208673</v>
      </c>
      <c r="Q12" s="45">
        <f>总成本!R17</f>
        <v>3561.27708222738</v>
      </c>
      <c r="R12" s="45">
        <f>总成本!S17</f>
        <v>3563.38385703817</v>
      </c>
      <c r="S12" s="45">
        <f>总成本!T17</f>
        <v>3831.94009576832</v>
      </c>
      <c r="T12" s="45">
        <f>总成本!U17</f>
        <v>3834.05108623551</v>
      </c>
      <c r="U12" s="45">
        <f>总成本!V17</f>
        <v>3836.16418769317</v>
      </c>
      <c r="V12" s="45">
        <f>总成本!W17</f>
        <v>3838.27940225229</v>
      </c>
      <c r="W12" s="45">
        <f>总成本!X17</f>
        <v>3840.39673202596</v>
      </c>
      <c r="X12" s="45">
        <f>总成本!Y17</f>
        <v>4108.96353627395</v>
      </c>
      <c r="Y12" s="45">
        <f>总成本!Z17</f>
        <v>4111.0851028245</v>
      </c>
      <c r="Z12" s="45">
        <f>总成本!AA17</f>
        <v>4113.20879094161</v>
      </c>
      <c r="AA12" s="45">
        <f>总成本!AB17</f>
        <v>4115.33460274682</v>
      </c>
      <c r="AB12" s="45">
        <f>总成本!AC17</f>
        <v>4117.46254036385</v>
      </c>
      <c r="AC12" s="45">
        <f>总成本!AD17</f>
        <v>155.3202</v>
      </c>
    </row>
    <row r="13" ht="18" customHeight="1" spans="1:29">
      <c r="A13" s="42" t="s">
        <v>1408</v>
      </c>
      <c r="B13" s="91" t="s">
        <v>1409</v>
      </c>
      <c r="C13" s="45">
        <f>销售收入!D37</f>
        <v>0</v>
      </c>
      <c r="D13" s="45">
        <f>销售收入!E37</f>
        <v>0</v>
      </c>
      <c r="E13" s="45">
        <f>销售收入!F37</f>
        <v>0</v>
      </c>
      <c r="F13" s="45">
        <f>销售收入!G37</f>
        <v>0</v>
      </c>
      <c r="G13" s="45">
        <f>销售收入!H37</f>
        <v>0</v>
      </c>
      <c r="H13" s="45">
        <f>销售收入!I37</f>
        <v>0</v>
      </c>
      <c r="I13" s="45">
        <f>销售收入!J37</f>
        <v>0</v>
      </c>
      <c r="J13" s="45">
        <f>销售收入!K37</f>
        <v>0</v>
      </c>
      <c r="K13" s="45">
        <f>销售收入!L37</f>
        <v>0</v>
      </c>
      <c r="L13" s="45">
        <f>销售收入!M37</f>
        <v>0</v>
      </c>
      <c r="M13" s="45">
        <f>销售收入!N37</f>
        <v>0</v>
      </c>
      <c r="N13" s="45">
        <f>销售收入!O37</f>
        <v>0</v>
      </c>
      <c r="O13" s="45">
        <f>销售收入!P37</f>
        <v>0</v>
      </c>
      <c r="P13" s="45">
        <f>销售收入!Q37</f>
        <v>0</v>
      </c>
      <c r="Q13" s="45">
        <f>销售收入!R37</f>
        <v>0</v>
      </c>
      <c r="R13" s="45">
        <f>销售收入!S37</f>
        <v>0</v>
      </c>
      <c r="S13" s="45">
        <f>销售收入!T37</f>
        <v>0</v>
      </c>
      <c r="T13" s="45">
        <f>销售收入!U37</f>
        <v>0</v>
      </c>
      <c r="U13" s="45">
        <f>销售收入!V37</f>
        <v>0</v>
      </c>
      <c r="V13" s="45">
        <f>销售收入!W37</f>
        <v>0</v>
      </c>
      <c r="W13" s="45">
        <f>销售收入!X37</f>
        <v>0</v>
      </c>
      <c r="X13" s="45">
        <f>销售收入!Y37</f>
        <v>0</v>
      </c>
      <c r="Y13" s="45">
        <f>销售收入!Z37</f>
        <v>0</v>
      </c>
      <c r="Z13" s="45">
        <f>销售收入!AA37</f>
        <v>0</v>
      </c>
      <c r="AA13" s="45">
        <f>销售收入!AB37</f>
        <v>0</v>
      </c>
      <c r="AB13" s="45">
        <f>销售收入!AC37</f>
        <v>0</v>
      </c>
      <c r="AC13" s="45">
        <f>销售收入!AD37</f>
        <v>0</v>
      </c>
    </row>
    <row r="14" ht="18" customHeight="1" spans="1:29">
      <c r="A14" s="42" t="s">
        <v>1410</v>
      </c>
      <c r="B14" s="91" t="s">
        <v>730</v>
      </c>
      <c r="C14" s="45">
        <f>销售收入!D30</f>
        <v>0</v>
      </c>
      <c r="D14" s="45">
        <f>销售收入!E30</f>
        <v>397.3725</v>
      </c>
      <c r="E14" s="45">
        <f>销售收入!F30</f>
        <v>393.398775</v>
      </c>
      <c r="F14" s="45">
        <f>销售收入!G30</f>
        <v>391.809285</v>
      </c>
      <c r="G14" s="45">
        <f>销售收入!H30</f>
        <v>390.219795</v>
      </c>
      <c r="H14" s="45">
        <f>销售收入!I30</f>
        <v>388.630305</v>
      </c>
      <c r="I14" s="45">
        <f>销售收入!J30</f>
        <v>387.040815</v>
      </c>
      <c r="J14" s="45">
        <f>销售收入!K30</f>
        <v>385.451325</v>
      </c>
      <c r="K14" s="45">
        <f>销售收入!L30</f>
        <v>383.861835</v>
      </c>
      <c r="L14" s="45">
        <f>销售收入!M30</f>
        <v>382.272345</v>
      </c>
      <c r="M14" s="45">
        <f>销售收入!N30</f>
        <v>380.682855</v>
      </c>
      <c r="N14" s="45">
        <f>销售收入!O30</f>
        <v>379.093365</v>
      </c>
      <c r="O14" s="45">
        <f>销售收入!P30</f>
        <v>377.503875</v>
      </c>
      <c r="P14" s="45">
        <f>销售收入!Q30</f>
        <v>375.914385</v>
      </c>
      <c r="Q14" s="45">
        <f>销售收入!R30</f>
        <v>374.324895</v>
      </c>
      <c r="R14" s="45">
        <f>销售收入!S30</f>
        <v>372.735405</v>
      </c>
      <c r="S14" s="45">
        <f>销售收入!T30</f>
        <v>371.145915</v>
      </c>
      <c r="T14" s="45">
        <f>销售收入!U30</f>
        <v>369.556425</v>
      </c>
      <c r="U14" s="45">
        <f>销售收入!V30</f>
        <v>367.966935</v>
      </c>
      <c r="V14" s="45">
        <f>销售收入!W30</f>
        <v>366.377445</v>
      </c>
      <c r="W14" s="45">
        <f>销售收入!X30</f>
        <v>364.787955</v>
      </c>
      <c r="X14" s="45">
        <f>销售收入!Y30</f>
        <v>363.198465</v>
      </c>
      <c r="Y14" s="45">
        <f>销售收入!Z30</f>
        <v>361.608975</v>
      </c>
      <c r="Z14" s="45">
        <f>销售收入!AA30</f>
        <v>360.019485</v>
      </c>
      <c r="AA14" s="45">
        <f>销售收入!AB30</f>
        <v>358.429995</v>
      </c>
      <c r="AB14" s="45">
        <f>销售收入!AC30</f>
        <v>356.840505</v>
      </c>
      <c r="AC14" s="45">
        <f>销售收入!AD30</f>
        <v>0</v>
      </c>
    </row>
    <row r="15" ht="18" customHeight="1" spans="1:29">
      <c r="A15" s="42" t="s">
        <v>1411</v>
      </c>
      <c r="B15" s="112" t="s">
        <v>1396</v>
      </c>
      <c r="C15" s="45">
        <f>销售收入!D35</f>
        <v>0</v>
      </c>
      <c r="D15" s="45">
        <f>销售收入!E39</f>
        <v>0</v>
      </c>
      <c r="E15" s="45">
        <f>销售收入!F39</f>
        <v>0</v>
      </c>
      <c r="F15" s="45">
        <f>销售收入!G39</f>
        <v>0</v>
      </c>
      <c r="G15" s="45">
        <f>销售收入!H39</f>
        <v>0</v>
      </c>
      <c r="H15" s="45">
        <f>销售收入!I39</f>
        <v>0</v>
      </c>
      <c r="I15" s="45">
        <f>销售收入!J39</f>
        <v>0</v>
      </c>
      <c r="J15" s="45">
        <f>销售收入!K39</f>
        <v>0</v>
      </c>
      <c r="K15" s="45">
        <f>销售收入!L39</f>
        <v>0</v>
      </c>
      <c r="L15" s="45">
        <f>销售收入!M39</f>
        <v>0</v>
      </c>
      <c r="M15" s="45">
        <f>销售收入!N39</f>
        <v>0</v>
      </c>
      <c r="N15" s="45">
        <f>销售收入!O39</f>
        <v>0</v>
      </c>
      <c r="O15" s="45">
        <f>销售收入!P39</f>
        <v>0</v>
      </c>
      <c r="P15" s="45">
        <f>销售收入!Q39</f>
        <v>0</v>
      </c>
      <c r="Q15" s="45">
        <f>销售收入!R39</f>
        <v>0</v>
      </c>
      <c r="R15" s="45">
        <f>销售收入!S39</f>
        <v>0</v>
      </c>
      <c r="S15" s="45">
        <f>销售收入!T39</f>
        <v>0</v>
      </c>
      <c r="T15" s="45">
        <f>销售收入!U39</f>
        <v>0</v>
      </c>
      <c r="U15" s="45">
        <f>销售收入!V39</f>
        <v>0</v>
      </c>
      <c r="V15" s="45">
        <f>销售收入!W39</f>
        <v>0</v>
      </c>
      <c r="W15" s="45">
        <f>销售收入!X39</f>
        <v>0</v>
      </c>
      <c r="X15" s="45">
        <f>销售收入!Y39</f>
        <v>0</v>
      </c>
      <c r="Y15" s="45">
        <f>销售收入!Z39</f>
        <v>0</v>
      </c>
      <c r="Z15" s="45">
        <f>销售收入!AA39</f>
        <v>0</v>
      </c>
      <c r="AA15" s="45">
        <f>销售收入!AB39</f>
        <v>0</v>
      </c>
      <c r="AB15" s="45">
        <f>销售收入!AC39</f>
        <v>0</v>
      </c>
      <c r="AC15" s="45">
        <f>销售收入!AD39</f>
        <v>0</v>
      </c>
    </row>
    <row r="16" ht="18" customHeight="1" spans="1:29">
      <c r="A16" s="42" t="s">
        <v>1412</v>
      </c>
      <c r="B16" s="91" t="s">
        <v>791</v>
      </c>
      <c r="C16" s="45">
        <f>损益表!D13</f>
        <v>0</v>
      </c>
      <c r="D16" s="45">
        <f>损益表!E13</f>
        <v>0</v>
      </c>
      <c r="E16" s="45">
        <f>损益表!F13</f>
        <v>0</v>
      </c>
      <c r="F16" s="45">
        <f>损益表!G13</f>
        <v>0</v>
      </c>
      <c r="G16" s="45">
        <f>损益表!H13</f>
        <v>0</v>
      </c>
      <c r="H16" s="45">
        <f>损益表!I13</f>
        <v>0</v>
      </c>
      <c r="I16" s="45">
        <f>损益表!J13</f>
        <v>0</v>
      </c>
      <c r="J16" s="45">
        <f>损益表!K13</f>
        <v>0</v>
      </c>
      <c r="K16" s="45">
        <f>损益表!L13</f>
        <v>0</v>
      </c>
      <c r="L16" s="45">
        <f>损益表!M13</f>
        <v>0</v>
      </c>
      <c r="M16" s="45">
        <f>损益表!N13</f>
        <v>2159.03900619643</v>
      </c>
      <c r="N16" s="45">
        <f>损益表!O13</f>
        <v>2161.21163860854</v>
      </c>
      <c r="O16" s="45">
        <f>损益表!P13</f>
        <v>2190.02879689822</v>
      </c>
      <c r="P16" s="45">
        <f>损益表!Q13</f>
        <v>2218.8457451412</v>
      </c>
      <c r="Q16" s="45">
        <f>损益表!R13</f>
        <v>2247.66248312742</v>
      </c>
      <c r="R16" s="45">
        <f>损益表!S13</f>
        <v>2276.47901064662</v>
      </c>
      <c r="S16" s="45">
        <f>损益表!T13</f>
        <v>2278.65059177389</v>
      </c>
      <c r="T16" s="45">
        <f>损益表!U13</f>
        <v>2262.70354172717</v>
      </c>
      <c r="U16" s="45">
        <f>损益表!V13</f>
        <v>2246.75628058141</v>
      </c>
      <c r="V16" s="45">
        <f>损益表!W13</f>
        <v>2230.8088081255</v>
      </c>
      <c r="W16" s="45">
        <f>损益表!X13</f>
        <v>2214.86112414813</v>
      </c>
      <c r="X16" s="45">
        <f>损益表!Y13</f>
        <v>3184.7684498726</v>
      </c>
      <c r="Y16" s="45">
        <f>损益表!Z13</f>
        <v>3168.82034221755</v>
      </c>
      <c r="Z16" s="45">
        <f>损益表!AA13</f>
        <v>3152.87202240584</v>
      </c>
      <c r="AA16" s="45">
        <f>损益表!AB13</f>
        <v>3136.92349022532</v>
      </c>
      <c r="AB16" s="45">
        <f>损益表!AC13</f>
        <v>3120.97474546362</v>
      </c>
      <c r="AC16" s="45">
        <f>损益表!AD13</f>
        <v>0</v>
      </c>
    </row>
    <row r="17" ht="18" customHeight="1" spans="1:29">
      <c r="A17" s="42" t="s">
        <v>1413</v>
      </c>
      <c r="B17" s="132" t="s">
        <v>1414</v>
      </c>
      <c r="C17" s="45"/>
      <c r="D17" s="45">
        <f>损益表!E19</f>
        <v>974.960973566006</v>
      </c>
      <c r="E17" s="45">
        <f>损益表!F19</f>
        <v>977.568633941148</v>
      </c>
      <c r="F17" s="45">
        <f>损益表!G19</f>
        <v>991.978153587415</v>
      </c>
      <c r="G17" s="45">
        <f>损益表!H19</f>
        <v>1006.38756915083</v>
      </c>
      <c r="H17" s="45">
        <f>损益表!I19</f>
        <v>1020.7968805273</v>
      </c>
      <c r="I17" s="45">
        <f>损益表!J19</f>
        <v>1021.88371975543</v>
      </c>
      <c r="J17" s="45">
        <f>损益表!K19</f>
        <v>1036.29282244537</v>
      </c>
      <c r="K17" s="45">
        <f>损益表!L19</f>
        <v>1050.7018206355</v>
      </c>
      <c r="L17" s="45">
        <f>损益表!M19</f>
        <v>1065.11071422131</v>
      </c>
      <c r="M17" s="45">
        <f>损益表!N19</f>
        <v>971.567552788395</v>
      </c>
      <c r="N17" s="45">
        <f>损益表!O19</f>
        <v>972.545237373842</v>
      </c>
      <c r="O17" s="45">
        <f>损益表!P19</f>
        <v>985.512958604201</v>
      </c>
      <c r="P17" s="45">
        <f>损益表!Q19</f>
        <v>998.48058531354</v>
      </c>
      <c r="Q17" s="45">
        <f>损益表!R19</f>
        <v>1011.44811740734</v>
      </c>
      <c r="R17" s="45">
        <f>损益表!S19</f>
        <v>1024.41555479098</v>
      </c>
      <c r="S17" s="45">
        <f>损益表!T19</f>
        <v>1025.39276629825</v>
      </c>
      <c r="T17" s="45">
        <f>损益表!U19</f>
        <v>1018.21659377723</v>
      </c>
      <c r="U17" s="45">
        <f>损益表!V19</f>
        <v>1011.04032626163</v>
      </c>
      <c r="V17" s="45">
        <f>损益表!W19</f>
        <v>1003.86396365647</v>
      </c>
      <c r="W17" s="45">
        <f>损益表!X19</f>
        <v>996.687505866658</v>
      </c>
      <c r="X17" s="45">
        <f>损益表!Y19</f>
        <v>1433.14580244267</v>
      </c>
      <c r="Y17" s="45">
        <f>损益表!Z19</f>
        <v>1425.9691539979</v>
      </c>
      <c r="Z17" s="45">
        <f>损益表!AA19</f>
        <v>1418.79241008263</v>
      </c>
      <c r="AA17" s="45">
        <f>损益表!AB19</f>
        <v>1411.61557060139</v>
      </c>
      <c r="AB17" s="45">
        <f>损益表!AC19</f>
        <v>1404.43863545863</v>
      </c>
      <c r="AC17" s="45">
        <f>损益表!AD19</f>
        <v>-7.76600999999992</v>
      </c>
    </row>
    <row r="18" ht="18" customHeight="1" spans="1:29">
      <c r="A18" s="42" t="s">
        <v>1415</v>
      </c>
      <c r="B18" s="91" t="s">
        <v>1416</v>
      </c>
      <c r="C18" s="45"/>
      <c r="D18" s="45"/>
      <c r="E18" s="45"/>
      <c r="F18" s="45"/>
      <c r="G18" s="45"/>
      <c r="H18" s="45"/>
      <c r="I18" s="45"/>
      <c r="J18" s="45"/>
      <c r="K18" s="45"/>
      <c r="L18" s="45"/>
      <c r="M18" s="45"/>
      <c r="N18" s="45"/>
      <c r="O18" s="45"/>
      <c r="P18" s="45"/>
      <c r="Q18" s="45"/>
      <c r="R18" s="45"/>
      <c r="S18" s="45"/>
      <c r="T18" s="45"/>
      <c r="U18" s="45"/>
      <c r="V18" s="45"/>
      <c r="W18" s="45"/>
      <c r="X18" s="45"/>
      <c r="Y18" s="45"/>
      <c r="Z18" s="45"/>
      <c r="AA18" s="45"/>
      <c r="AB18" s="45"/>
      <c r="AC18" s="45"/>
    </row>
    <row r="19" ht="18" customHeight="1" spans="1:29">
      <c r="A19" s="42"/>
      <c r="B19" s="91"/>
      <c r="C19" s="45"/>
      <c r="D19" s="45"/>
      <c r="E19" s="45"/>
      <c r="F19" s="45"/>
      <c r="G19" s="45"/>
      <c r="H19" s="45"/>
      <c r="I19" s="45"/>
      <c r="J19" s="45"/>
      <c r="K19" s="45"/>
      <c r="L19" s="45"/>
      <c r="M19" s="45"/>
      <c r="N19" s="45"/>
      <c r="O19" s="45"/>
      <c r="P19" s="45"/>
      <c r="Q19" s="45"/>
      <c r="R19" s="45"/>
      <c r="S19" s="45"/>
      <c r="T19" s="45"/>
      <c r="U19" s="45"/>
      <c r="V19" s="45"/>
      <c r="W19" s="45"/>
      <c r="X19" s="45"/>
      <c r="Y19" s="45"/>
      <c r="Z19" s="45"/>
      <c r="AA19" s="45"/>
      <c r="AB19" s="45"/>
      <c r="AC19" s="45"/>
    </row>
    <row r="20" ht="18" customHeight="1" spans="1:29">
      <c r="A20" s="129">
        <v>2</v>
      </c>
      <c r="B20" s="130" t="s">
        <v>1417</v>
      </c>
      <c r="C20" s="131">
        <f t="shared" ref="C20:Q20" si="6">C21-C22</f>
        <v>-267947.357144546</v>
      </c>
      <c r="D20" s="131">
        <f t="shared" si="6"/>
        <v>0</v>
      </c>
      <c r="E20" s="131">
        <f t="shared" si="6"/>
        <v>0</v>
      </c>
      <c r="F20" s="131">
        <f t="shared" si="6"/>
        <v>0</v>
      </c>
      <c r="G20" s="131">
        <f t="shared" si="6"/>
        <v>0</v>
      </c>
      <c r="H20" s="131">
        <f t="shared" si="6"/>
        <v>0</v>
      </c>
      <c r="I20" s="131">
        <f t="shared" si="6"/>
        <v>0</v>
      </c>
      <c r="J20" s="131">
        <f t="shared" si="6"/>
        <v>0</v>
      </c>
      <c r="K20" s="131">
        <f t="shared" si="6"/>
        <v>0</v>
      </c>
      <c r="L20" s="131">
        <f t="shared" si="6"/>
        <v>0</v>
      </c>
      <c r="M20" s="131">
        <f t="shared" si="6"/>
        <v>0</v>
      </c>
      <c r="N20" s="131">
        <f t="shared" si="6"/>
        <v>0</v>
      </c>
      <c r="O20" s="131">
        <f t="shared" si="6"/>
        <v>0</v>
      </c>
      <c r="P20" s="131">
        <f t="shared" si="6"/>
        <v>0</v>
      </c>
      <c r="Q20" s="131">
        <f t="shared" si="6"/>
        <v>0</v>
      </c>
      <c r="R20" s="131">
        <f t="shared" ref="R20:W20" si="7">R21-R22</f>
        <v>0</v>
      </c>
      <c r="S20" s="131">
        <f t="shared" si="7"/>
        <v>0</v>
      </c>
      <c r="T20" s="131">
        <f t="shared" si="7"/>
        <v>0</v>
      </c>
      <c r="U20" s="131">
        <f t="shared" si="7"/>
        <v>0</v>
      </c>
      <c r="V20" s="131">
        <f t="shared" si="7"/>
        <v>0</v>
      </c>
      <c r="W20" s="131">
        <f t="shared" si="7"/>
        <v>0</v>
      </c>
      <c r="X20" s="131">
        <f t="shared" ref="X20:AC20" si="8">X21-X22</f>
        <v>0</v>
      </c>
      <c r="Y20" s="131">
        <f t="shared" si="8"/>
        <v>0</v>
      </c>
      <c r="Z20" s="131">
        <f t="shared" si="8"/>
        <v>0</v>
      </c>
      <c r="AA20" s="131">
        <f t="shared" si="8"/>
        <v>0</v>
      </c>
      <c r="AB20" s="131">
        <f t="shared" si="8"/>
        <v>0</v>
      </c>
      <c r="AC20" s="131">
        <f t="shared" si="8"/>
        <v>0</v>
      </c>
    </row>
    <row r="21" ht="18" customHeight="1" spans="1:29">
      <c r="A21" s="42">
        <v>2.1</v>
      </c>
      <c r="B21" s="91" t="s">
        <v>1404</v>
      </c>
      <c r="C21" s="45"/>
      <c r="D21" s="45"/>
      <c r="E21" s="45"/>
      <c r="F21" s="45"/>
      <c r="G21" s="45"/>
      <c r="H21" s="45"/>
      <c r="I21" s="45"/>
      <c r="J21" s="45"/>
      <c r="K21" s="45"/>
      <c r="L21" s="45"/>
      <c r="M21" s="45"/>
      <c r="N21" s="45"/>
      <c r="O21" s="45"/>
      <c r="P21" s="45"/>
      <c r="Q21" s="45"/>
      <c r="R21" s="45"/>
      <c r="S21" s="45"/>
      <c r="T21" s="45"/>
      <c r="U21" s="45"/>
      <c r="V21" s="45"/>
      <c r="W21" s="45"/>
      <c r="X21" s="45"/>
      <c r="Y21" s="45"/>
      <c r="Z21" s="45"/>
      <c r="AA21" s="45"/>
      <c r="AB21" s="45"/>
      <c r="AC21" s="45"/>
    </row>
    <row r="22" ht="18" customHeight="1" spans="1:29">
      <c r="A22" s="42">
        <v>2.2</v>
      </c>
      <c r="B22" s="91" t="s">
        <v>1407</v>
      </c>
      <c r="C22" s="45">
        <f>SUM(C23:C26)</f>
        <v>267947.357144546</v>
      </c>
      <c r="D22" s="45">
        <f>SUM(D23:D26)</f>
        <v>0</v>
      </c>
      <c r="E22" s="45">
        <f>SUM(E23:E26)</f>
        <v>0</v>
      </c>
      <c r="F22" s="45">
        <f>SUM(F23:F26)</f>
        <v>0</v>
      </c>
      <c r="G22" s="45">
        <f>SUM(G23:G26)</f>
        <v>0</v>
      </c>
      <c r="H22" s="45">
        <f t="shared" ref="H22:Q22" si="9">SUM(H23:H26)</f>
        <v>0</v>
      </c>
      <c r="I22" s="45">
        <f t="shared" si="9"/>
        <v>0</v>
      </c>
      <c r="J22" s="45">
        <f t="shared" si="9"/>
        <v>0</v>
      </c>
      <c r="K22" s="45">
        <f t="shared" si="9"/>
        <v>0</v>
      </c>
      <c r="L22" s="45">
        <f t="shared" si="9"/>
        <v>0</v>
      </c>
      <c r="M22" s="45">
        <f t="shared" si="9"/>
        <v>0</v>
      </c>
      <c r="N22" s="45">
        <f t="shared" si="9"/>
        <v>0</v>
      </c>
      <c r="O22" s="45">
        <f t="shared" si="9"/>
        <v>0</v>
      </c>
      <c r="P22" s="45">
        <f t="shared" si="9"/>
        <v>0</v>
      </c>
      <c r="Q22" s="45">
        <f t="shared" si="9"/>
        <v>0</v>
      </c>
      <c r="R22" s="45">
        <f t="shared" ref="R22:W22" si="10">SUM(R23:R26)</f>
        <v>0</v>
      </c>
      <c r="S22" s="45">
        <f t="shared" si="10"/>
        <v>0</v>
      </c>
      <c r="T22" s="45">
        <f t="shared" si="10"/>
        <v>0</v>
      </c>
      <c r="U22" s="45">
        <f t="shared" si="10"/>
        <v>0</v>
      </c>
      <c r="V22" s="45">
        <f t="shared" si="10"/>
        <v>0</v>
      </c>
      <c r="W22" s="45">
        <f t="shared" si="10"/>
        <v>0</v>
      </c>
      <c r="X22" s="45">
        <f t="shared" ref="X22:AC22" si="11">SUM(X23:X26)</f>
        <v>0</v>
      </c>
      <c r="Y22" s="45">
        <f t="shared" si="11"/>
        <v>0</v>
      </c>
      <c r="Z22" s="45">
        <f t="shared" si="11"/>
        <v>0</v>
      </c>
      <c r="AA22" s="45">
        <f t="shared" si="11"/>
        <v>0</v>
      </c>
      <c r="AB22" s="45">
        <f t="shared" si="11"/>
        <v>0</v>
      </c>
      <c r="AC22" s="45">
        <f t="shared" si="11"/>
        <v>0</v>
      </c>
    </row>
    <row r="23" ht="18" customHeight="1" spans="1:29">
      <c r="A23" s="42" t="s">
        <v>190</v>
      </c>
      <c r="B23" s="91" t="s">
        <v>1418</v>
      </c>
      <c r="C23" s="45">
        <f>资金筹措!C7</f>
        <v>263131.895264217</v>
      </c>
      <c r="D23" s="45">
        <f>资金筹措!D7</f>
        <v>0</v>
      </c>
      <c r="E23" s="45">
        <f>资金筹措!E7</f>
        <v>0</v>
      </c>
      <c r="F23" s="45"/>
      <c r="G23" s="45"/>
      <c r="H23" s="45"/>
      <c r="I23" s="45"/>
      <c r="J23" s="45"/>
      <c r="K23" s="45"/>
      <c r="L23" s="45"/>
      <c r="M23" s="45"/>
      <c r="N23" s="45"/>
      <c r="O23" s="45"/>
      <c r="P23" s="45"/>
      <c r="Q23" s="45"/>
      <c r="R23" s="45"/>
      <c r="S23" s="45"/>
      <c r="T23" s="45"/>
      <c r="U23" s="45"/>
      <c r="V23" s="45"/>
      <c r="W23" s="45"/>
      <c r="X23" s="45"/>
      <c r="Y23" s="45"/>
      <c r="Z23" s="45"/>
      <c r="AA23" s="45"/>
      <c r="AB23" s="45"/>
      <c r="AC23" s="45"/>
    </row>
    <row r="24" ht="18" customHeight="1" spans="1:29">
      <c r="A24" s="42" t="s">
        <v>192</v>
      </c>
      <c r="B24" s="91" t="s">
        <v>771</v>
      </c>
      <c r="C24" s="45">
        <f>资金筹措!C8</f>
        <v>3315.46188032912</v>
      </c>
      <c r="D24" s="45"/>
      <c r="E24" s="45"/>
      <c r="F24" s="45"/>
      <c r="G24" s="45"/>
      <c r="H24" s="45"/>
      <c r="I24" s="45"/>
      <c r="J24" s="45"/>
      <c r="K24" s="45"/>
      <c r="L24" s="45"/>
      <c r="M24" s="45"/>
      <c r="N24" s="45"/>
      <c r="O24" s="45"/>
      <c r="P24" s="45"/>
      <c r="Q24" s="45"/>
      <c r="R24" s="45"/>
      <c r="S24" s="45"/>
      <c r="T24" s="45"/>
      <c r="U24" s="45"/>
      <c r="V24" s="45"/>
      <c r="W24" s="45"/>
      <c r="X24" s="45"/>
      <c r="Y24" s="45"/>
      <c r="Z24" s="45"/>
      <c r="AA24" s="45"/>
      <c r="AB24" s="45"/>
      <c r="AC24" s="45"/>
    </row>
    <row r="25" ht="18" customHeight="1" spans="1:29">
      <c r="A25" s="42" t="s">
        <v>194</v>
      </c>
      <c r="B25" s="91" t="s">
        <v>217</v>
      </c>
      <c r="C25" s="45">
        <f>资金筹措!C9</f>
        <v>1500</v>
      </c>
      <c r="D25" s="45">
        <f>资金筹措!D9</f>
        <v>0</v>
      </c>
      <c r="E25" s="45">
        <f>资金筹措!E9</f>
        <v>0</v>
      </c>
      <c r="F25" s="45"/>
      <c r="G25" s="45"/>
      <c r="H25" s="45"/>
      <c r="I25" s="45"/>
      <c r="J25" s="45"/>
      <c r="K25" s="45"/>
      <c r="L25" s="45"/>
      <c r="M25" s="45"/>
      <c r="N25" s="45"/>
      <c r="O25" s="45"/>
      <c r="P25" s="45"/>
      <c r="Q25" s="45"/>
      <c r="R25" s="45"/>
      <c r="S25" s="45"/>
      <c r="T25" s="45"/>
      <c r="U25" s="45"/>
      <c r="V25" s="45"/>
      <c r="W25" s="45"/>
      <c r="X25" s="45"/>
      <c r="Y25" s="45"/>
      <c r="Z25" s="45"/>
      <c r="AA25" s="45"/>
      <c r="AB25" s="45"/>
      <c r="AC25" s="45"/>
    </row>
    <row r="26" ht="18" customHeight="1" spans="1:29">
      <c r="A26" s="42" t="s">
        <v>196</v>
      </c>
      <c r="B26" s="91" t="s">
        <v>1416</v>
      </c>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c r="AC26" s="45"/>
    </row>
    <row r="27" ht="18" customHeight="1" spans="1:29">
      <c r="A27" s="42"/>
      <c r="B27" s="91"/>
      <c r="C27" s="45"/>
      <c r="D27" s="45"/>
      <c r="E27" s="45"/>
      <c r="F27" s="45"/>
      <c r="G27" s="45"/>
      <c r="H27" s="45"/>
      <c r="I27" s="45"/>
      <c r="J27" s="45"/>
      <c r="K27" s="45"/>
      <c r="L27" s="45"/>
      <c r="M27" s="45"/>
      <c r="N27" s="45"/>
      <c r="O27" s="45"/>
      <c r="P27" s="45"/>
      <c r="Q27" s="45"/>
      <c r="R27" s="45"/>
      <c r="S27" s="45"/>
      <c r="T27" s="45"/>
      <c r="U27" s="45"/>
      <c r="V27" s="45"/>
      <c r="W27" s="45"/>
      <c r="X27" s="45"/>
      <c r="Y27" s="45"/>
      <c r="Z27" s="45"/>
      <c r="AA27" s="45"/>
      <c r="AB27" s="45"/>
      <c r="AC27" s="45"/>
    </row>
    <row r="28" ht="18" customHeight="1" spans="1:29">
      <c r="A28" s="129">
        <v>3</v>
      </c>
      <c r="B28" s="133" t="s">
        <v>1419</v>
      </c>
      <c r="C28" s="131">
        <f>C29-C36</f>
        <v>267947.357144546</v>
      </c>
      <c r="D28" s="131">
        <f>D29-D36</f>
        <v>-19148.6834001214</v>
      </c>
      <c r="E28" s="131">
        <f t="shared" ref="E28:Q28" si="12">E29-E36</f>
        <v>-18701.0518401186</v>
      </c>
      <c r="F28" s="131">
        <f t="shared" si="12"/>
        <v>-18253.4202801157</v>
      </c>
      <c r="G28" s="131">
        <f t="shared" si="12"/>
        <v>-17805.7887201129</v>
      </c>
      <c r="H28" s="131">
        <f t="shared" si="12"/>
        <v>-17358.15716011</v>
      </c>
      <c r="I28" s="131">
        <f t="shared" si="12"/>
        <v>-16910.5256001072</v>
      </c>
      <c r="J28" s="131">
        <f t="shared" si="12"/>
        <v>-16462.8940401044</v>
      </c>
      <c r="K28" s="131">
        <f t="shared" si="12"/>
        <v>-16015.2624801015</v>
      </c>
      <c r="L28" s="131">
        <f t="shared" si="12"/>
        <v>-15567.6309200987</v>
      </c>
      <c r="M28" s="131">
        <f t="shared" si="12"/>
        <v>-15119.9993600959</v>
      </c>
      <c r="N28" s="131">
        <f t="shared" si="12"/>
        <v>-14672.367800093</v>
      </c>
      <c r="O28" s="131">
        <f t="shared" si="12"/>
        <v>-14224.7362400902</v>
      </c>
      <c r="P28" s="131">
        <f t="shared" si="12"/>
        <v>-13777.1046800873</v>
      </c>
      <c r="Q28" s="131">
        <f t="shared" si="12"/>
        <v>-13329.4731200845</v>
      </c>
      <c r="R28" s="131">
        <f t="shared" ref="R28:AC28" si="13">R29-R36</f>
        <v>-12881.8415600817</v>
      </c>
      <c r="S28" s="131">
        <f t="shared" si="13"/>
        <v>1.70257408171892e-12</v>
      </c>
      <c r="T28" s="131">
        <f t="shared" si="13"/>
        <v>1.70257408171892e-12</v>
      </c>
      <c r="U28" s="131">
        <f t="shared" si="13"/>
        <v>1.70257408171892e-12</v>
      </c>
      <c r="V28" s="131">
        <f t="shared" si="13"/>
        <v>1.70257408171892e-12</v>
      </c>
      <c r="W28" s="131">
        <f t="shared" si="13"/>
        <v>1.70257408171892e-12</v>
      </c>
      <c r="X28" s="131">
        <f t="shared" si="13"/>
        <v>1.70257408171892e-12</v>
      </c>
      <c r="Y28" s="131">
        <f t="shared" si="13"/>
        <v>1.70257408171892e-12</v>
      </c>
      <c r="Z28" s="131">
        <f t="shared" si="13"/>
        <v>1.70257408171892e-12</v>
      </c>
      <c r="AA28" s="131">
        <f t="shared" si="13"/>
        <v>1.70257408171892e-12</v>
      </c>
      <c r="AB28" s="131">
        <f t="shared" si="13"/>
        <v>1.70257408171892e-12</v>
      </c>
      <c r="AC28" s="131">
        <f t="shared" si="13"/>
        <v>1.70257408171892e-12</v>
      </c>
    </row>
    <row r="29" ht="18" customHeight="1" spans="1:29">
      <c r="A29" s="42">
        <v>3.1</v>
      </c>
      <c r="B29" s="91" t="s">
        <v>1404</v>
      </c>
      <c r="C29" s="45">
        <f>SUM(C30:C35)</f>
        <v>267947.357144546</v>
      </c>
      <c r="D29" s="45">
        <f>SUM(D30:D35)</f>
        <v>0</v>
      </c>
      <c r="E29" s="45">
        <f>SUM(E30:E35)</f>
        <v>0</v>
      </c>
      <c r="F29" s="45">
        <f>SUM(F30:F35)</f>
        <v>0</v>
      </c>
      <c r="G29" s="45">
        <f t="shared" ref="G29:Q29" si="14">SUM(G30:G35)</f>
        <v>0</v>
      </c>
      <c r="H29" s="45">
        <f t="shared" si="14"/>
        <v>0</v>
      </c>
      <c r="I29" s="45">
        <f t="shared" si="14"/>
        <v>0</v>
      </c>
      <c r="J29" s="45">
        <f t="shared" si="14"/>
        <v>0</v>
      </c>
      <c r="K29" s="45">
        <f t="shared" si="14"/>
        <v>0</v>
      </c>
      <c r="L29" s="45">
        <f t="shared" si="14"/>
        <v>0</v>
      </c>
      <c r="M29" s="45">
        <f t="shared" si="14"/>
        <v>0</v>
      </c>
      <c r="N29" s="45">
        <f t="shared" si="14"/>
        <v>0</v>
      </c>
      <c r="O29" s="45">
        <f t="shared" si="14"/>
        <v>0</v>
      </c>
      <c r="P29" s="45">
        <f t="shared" si="14"/>
        <v>0</v>
      </c>
      <c r="Q29" s="45">
        <f t="shared" si="14"/>
        <v>0</v>
      </c>
      <c r="R29" s="45">
        <f t="shared" ref="R29:W29" si="15">SUM(R30:R35)</f>
        <v>0</v>
      </c>
      <c r="S29" s="45">
        <f t="shared" si="15"/>
        <v>0</v>
      </c>
      <c r="T29" s="45">
        <f t="shared" si="15"/>
        <v>0</v>
      </c>
      <c r="U29" s="45">
        <f t="shared" si="15"/>
        <v>0</v>
      </c>
      <c r="V29" s="45">
        <f t="shared" si="15"/>
        <v>0</v>
      </c>
      <c r="W29" s="45">
        <f t="shared" si="15"/>
        <v>0</v>
      </c>
      <c r="X29" s="45">
        <f t="shared" ref="X29:AC29" si="16">SUM(X30:X35)</f>
        <v>0</v>
      </c>
      <c r="Y29" s="45">
        <f t="shared" si="16"/>
        <v>0</v>
      </c>
      <c r="Z29" s="45">
        <f t="shared" si="16"/>
        <v>0</v>
      </c>
      <c r="AA29" s="45">
        <f t="shared" si="16"/>
        <v>0</v>
      </c>
      <c r="AB29" s="45">
        <f t="shared" si="16"/>
        <v>0</v>
      </c>
      <c r="AC29" s="45">
        <f t="shared" si="16"/>
        <v>0</v>
      </c>
    </row>
    <row r="30" ht="18" customHeight="1" spans="1:29">
      <c r="A30" s="42" t="s">
        <v>1420</v>
      </c>
      <c r="B30" s="91" t="s">
        <v>1421</v>
      </c>
      <c r="C30" s="45">
        <f>资金筹措!C12</f>
        <v>81434.2071433639</v>
      </c>
      <c r="D30" s="45">
        <f>资金筹措!D12</f>
        <v>0</v>
      </c>
      <c r="E30" s="45">
        <f>资金筹措!E12</f>
        <v>0</v>
      </c>
      <c r="F30" s="45"/>
      <c r="G30" s="45"/>
      <c r="H30" s="45"/>
      <c r="I30" s="45"/>
      <c r="J30" s="45"/>
      <c r="K30" s="45"/>
      <c r="L30" s="45"/>
      <c r="M30" s="45"/>
      <c r="N30" s="45"/>
      <c r="O30" s="45"/>
      <c r="P30" s="45"/>
      <c r="Q30" s="45"/>
      <c r="R30" s="45"/>
      <c r="S30" s="45"/>
      <c r="T30" s="45"/>
      <c r="U30" s="45"/>
      <c r="V30" s="45"/>
      <c r="W30" s="45"/>
      <c r="X30" s="45"/>
      <c r="Y30" s="45"/>
      <c r="Z30" s="45"/>
      <c r="AA30" s="45"/>
      <c r="AB30" s="45"/>
      <c r="AC30" s="45"/>
    </row>
    <row r="31" ht="18" customHeight="1" spans="1:29">
      <c r="A31" s="42" t="s">
        <v>1422</v>
      </c>
      <c r="B31" s="91" t="s">
        <v>1423</v>
      </c>
      <c r="C31" s="45">
        <f>资金筹措!C17+资金筹措!C19</f>
        <v>186513.150001182</v>
      </c>
      <c r="D31" s="45">
        <f>资金筹措!D17+资金筹措!D19</f>
        <v>0</v>
      </c>
      <c r="E31" s="45">
        <f>资金筹措!E17</f>
        <v>0</v>
      </c>
      <c r="F31" s="45"/>
      <c r="G31" s="45"/>
      <c r="H31" s="45"/>
      <c r="I31" s="45"/>
      <c r="J31" s="45"/>
      <c r="K31" s="45"/>
      <c r="L31" s="45"/>
      <c r="M31" s="134"/>
      <c r="N31" s="45"/>
      <c r="O31" s="45"/>
      <c r="P31" s="45"/>
      <c r="Q31" s="45"/>
      <c r="R31" s="45"/>
      <c r="S31" s="45"/>
      <c r="T31" s="45"/>
      <c r="U31" s="45"/>
      <c r="V31" s="45"/>
      <c r="W31" s="45"/>
      <c r="X31" s="45"/>
      <c r="Y31" s="45"/>
      <c r="Z31" s="45"/>
      <c r="AA31" s="45"/>
      <c r="AB31" s="45"/>
      <c r="AC31" s="45"/>
    </row>
    <row r="32" ht="18" customHeight="1" spans="1:29">
      <c r="A32" s="42" t="s">
        <v>1424</v>
      </c>
      <c r="B32" s="91" t="s">
        <v>818</v>
      </c>
      <c r="C32" s="45">
        <f>资金筹措!C18</f>
        <v>0</v>
      </c>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row>
    <row r="33" ht="18" customHeight="1" spans="1:29">
      <c r="A33" s="42" t="s">
        <v>1425</v>
      </c>
      <c r="B33" s="91" t="s">
        <v>1426</v>
      </c>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row>
    <row r="34" ht="18" customHeight="1" spans="1:29">
      <c r="A34" s="42" t="s">
        <v>1427</v>
      </c>
      <c r="B34" s="91" t="s">
        <v>815</v>
      </c>
      <c r="C34" s="45"/>
      <c r="D34" s="45"/>
      <c r="E34" s="45"/>
      <c r="F34" s="45"/>
      <c r="G34" s="45"/>
      <c r="H34" s="45"/>
      <c r="I34" s="45"/>
      <c r="J34" s="45"/>
      <c r="K34" s="45"/>
      <c r="L34" s="45"/>
      <c r="M34" s="45"/>
      <c r="N34" s="45"/>
      <c r="O34" s="45"/>
      <c r="P34" s="45"/>
      <c r="Q34" s="45"/>
      <c r="R34" s="45"/>
      <c r="S34" s="45"/>
      <c r="T34" s="45"/>
      <c r="U34" s="45"/>
      <c r="V34" s="45"/>
      <c r="W34" s="45"/>
      <c r="X34" s="45"/>
      <c r="Y34" s="45"/>
      <c r="Z34" s="45"/>
      <c r="AA34" s="45"/>
      <c r="AB34" s="45"/>
      <c r="AC34" s="45"/>
    </row>
    <row r="35" ht="18" customHeight="1" spans="1:29">
      <c r="A35" s="42" t="s">
        <v>1428</v>
      </c>
      <c r="B35" s="91" t="s">
        <v>1416</v>
      </c>
      <c r="C35" s="45"/>
      <c r="D35" s="45"/>
      <c r="E35" s="45"/>
      <c r="F35" s="45"/>
      <c r="G35" s="45"/>
      <c r="H35" s="45"/>
      <c r="I35" s="45"/>
      <c r="J35" s="45"/>
      <c r="K35" s="45"/>
      <c r="L35" s="45"/>
      <c r="M35" s="45"/>
      <c r="N35" s="45"/>
      <c r="O35" s="45"/>
      <c r="P35" s="45"/>
      <c r="Q35" s="45"/>
      <c r="R35" s="45"/>
      <c r="S35" s="45"/>
      <c r="T35" s="45"/>
      <c r="U35" s="45"/>
      <c r="V35" s="45"/>
      <c r="W35" s="45"/>
      <c r="X35" s="45"/>
      <c r="Y35" s="45"/>
      <c r="Z35" s="45"/>
      <c r="AA35" s="45"/>
      <c r="AB35" s="45"/>
      <c r="AC35" s="45"/>
    </row>
    <row r="36" ht="18" customHeight="1" spans="1:29">
      <c r="A36" s="42">
        <v>3.2</v>
      </c>
      <c r="B36" s="91" t="s">
        <v>1407</v>
      </c>
      <c r="C36" s="45">
        <f>SUM(C37:C40)</f>
        <v>0</v>
      </c>
      <c r="D36" s="45">
        <f t="shared" ref="D36:Q36" si="17">SUM(D37:D40)</f>
        <v>19148.6834001214</v>
      </c>
      <c r="E36" s="45">
        <f t="shared" si="17"/>
        <v>18701.0518401186</v>
      </c>
      <c r="F36" s="45">
        <f t="shared" si="17"/>
        <v>18253.4202801157</v>
      </c>
      <c r="G36" s="45">
        <f t="shared" si="17"/>
        <v>17805.7887201129</v>
      </c>
      <c r="H36" s="45">
        <f t="shared" si="17"/>
        <v>17358.15716011</v>
      </c>
      <c r="I36" s="45">
        <f t="shared" si="17"/>
        <v>16910.5256001072</v>
      </c>
      <c r="J36" s="45">
        <f t="shared" si="17"/>
        <v>16462.8940401044</v>
      </c>
      <c r="K36" s="45">
        <f t="shared" si="17"/>
        <v>16015.2624801015</v>
      </c>
      <c r="L36" s="45">
        <f t="shared" si="17"/>
        <v>15567.6309200987</v>
      </c>
      <c r="M36" s="45">
        <f t="shared" si="17"/>
        <v>15119.9993600959</v>
      </c>
      <c r="N36" s="45">
        <f t="shared" si="17"/>
        <v>14672.367800093</v>
      </c>
      <c r="O36" s="45">
        <f t="shared" si="17"/>
        <v>14224.7362400902</v>
      </c>
      <c r="P36" s="45">
        <f t="shared" si="17"/>
        <v>13777.1046800873</v>
      </c>
      <c r="Q36" s="45">
        <f t="shared" si="17"/>
        <v>13329.4731200845</v>
      </c>
      <c r="R36" s="45">
        <f t="shared" ref="R36:AC36" si="18">SUM(R37:R40)</f>
        <v>12881.8415600817</v>
      </c>
      <c r="S36" s="45">
        <f t="shared" si="18"/>
        <v>-1.70257408171892e-12</v>
      </c>
      <c r="T36" s="45">
        <f t="shared" si="18"/>
        <v>-1.70257408171892e-12</v>
      </c>
      <c r="U36" s="45">
        <f t="shared" si="18"/>
        <v>-1.70257408171892e-12</v>
      </c>
      <c r="V36" s="45">
        <f t="shared" si="18"/>
        <v>-1.70257408171892e-12</v>
      </c>
      <c r="W36" s="45">
        <f t="shared" si="18"/>
        <v>-1.70257408171892e-12</v>
      </c>
      <c r="X36" s="45">
        <f t="shared" si="18"/>
        <v>-1.70257408171892e-12</v>
      </c>
      <c r="Y36" s="45">
        <f t="shared" si="18"/>
        <v>-1.70257408171892e-12</v>
      </c>
      <c r="Z36" s="45">
        <f t="shared" si="18"/>
        <v>-1.70257408171892e-12</v>
      </c>
      <c r="AA36" s="45">
        <f t="shared" si="18"/>
        <v>-1.70257408171892e-12</v>
      </c>
      <c r="AB36" s="45">
        <f t="shared" si="18"/>
        <v>-1.70257408171892e-12</v>
      </c>
      <c r="AC36" s="45">
        <f t="shared" si="18"/>
        <v>-1.70257408171892e-12</v>
      </c>
    </row>
    <row r="37" ht="18" customHeight="1" spans="1:29">
      <c r="A37" s="42" t="s">
        <v>1429</v>
      </c>
      <c r="B37" s="91" t="s">
        <v>1430</v>
      </c>
      <c r="C37" s="45">
        <f>还本付息!D29</f>
        <v>0</v>
      </c>
      <c r="D37" s="45">
        <f>还本付息!E29</f>
        <v>6714.47340004257</v>
      </c>
      <c r="E37" s="45">
        <f>还本付息!F29</f>
        <v>6266.84184003973</v>
      </c>
      <c r="F37" s="45">
        <f>还本付息!G29</f>
        <v>5819.21028003689</v>
      </c>
      <c r="G37" s="45">
        <f>还本付息!H29</f>
        <v>5371.57872003405</v>
      </c>
      <c r="H37" s="45">
        <f>还本付息!I29</f>
        <v>4923.94716003121</v>
      </c>
      <c r="I37" s="45">
        <f>还本付息!J29</f>
        <v>4476.31560002838</v>
      </c>
      <c r="J37" s="45">
        <f>还本付息!K29</f>
        <v>4028.68404002554</v>
      </c>
      <c r="K37" s="45">
        <f>还本付息!L29</f>
        <v>3581.0524800227</v>
      </c>
      <c r="L37" s="45">
        <f>还本付息!M29</f>
        <v>3133.42092001986</v>
      </c>
      <c r="M37" s="45">
        <f>还本付息!N29</f>
        <v>2685.78936001703</v>
      </c>
      <c r="N37" s="45">
        <f>还本付息!O29</f>
        <v>2238.15780001419</v>
      </c>
      <c r="O37" s="45">
        <f>还本付息!P29</f>
        <v>1790.52624001135</v>
      </c>
      <c r="P37" s="45">
        <f>还本付息!Q29</f>
        <v>1342.89468000851</v>
      </c>
      <c r="Q37" s="45">
        <f>还本付息!R29</f>
        <v>895.263120005674</v>
      </c>
      <c r="R37" s="45">
        <f>还本付息!S29</f>
        <v>447.631560002836</v>
      </c>
      <c r="S37" s="45">
        <f>还本付息!T29</f>
        <v>-1.70257408171892e-12</v>
      </c>
      <c r="T37" s="45">
        <f>还本付息!U29</f>
        <v>-1.70257408171892e-12</v>
      </c>
      <c r="U37" s="45">
        <f>还本付息!V29</f>
        <v>-1.70257408171892e-12</v>
      </c>
      <c r="V37" s="45">
        <f>还本付息!W29</f>
        <v>-1.70257408171892e-12</v>
      </c>
      <c r="W37" s="45">
        <f>还本付息!X29</f>
        <v>-1.70257408171892e-12</v>
      </c>
      <c r="X37" s="45">
        <f>还本付息!Y29</f>
        <v>-1.70257408171892e-12</v>
      </c>
      <c r="Y37" s="45">
        <f>还本付息!Z29</f>
        <v>-1.70257408171892e-12</v>
      </c>
      <c r="Z37" s="45">
        <f>还本付息!AA29</f>
        <v>-1.70257408171892e-12</v>
      </c>
      <c r="AA37" s="45">
        <f>还本付息!AB29</f>
        <v>-1.70257408171892e-12</v>
      </c>
      <c r="AB37" s="45">
        <f>还本付息!AC29</f>
        <v>-1.70257408171892e-12</v>
      </c>
      <c r="AC37" s="45">
        <f>还本付息!AD29</f>
        <v>-1.70257408171892e-12</v>
      </c>
    </row>
    <row r="38" ht="18" customHeight="1" spans="1:29">
      <c r="A38" s="42" t="s">
        <v>1431</v>
      </c>
      <c r="B38" s="91" t="s">
        <v>1432</v>
      </c>
      <c r="C38" s="45">
        <f>还本付息!D28</f>
        <v>0</v>
      </c>
      <c r="D38" s="45">
        <f>还本付息!E28</f>
        <v>12434.2100000788</v>
      </c>
      <c r="E38" s="45">
        <f>还本付息!F28</f>
        <v>12434.2100000788</v>
      </c>
      <c r="F38" s="45">
        <f>还本付息!G28</f>
        <v>12434.2100000788</v>
      </c>
      <c r="G38" s="45">
        <f>还本付息!H28</f>
        <v>12434.2100000788</v>
      </c>
      <c r="H38" s="45">
        <f>还本付息!I28</f>
        <v>12434.2100000788</v>
      </c>
      <c r="I38" s="45">
        <f>还本付息!J28</f>
        <v>12434.2100000788</v>
      </c>
      <c r="J38" s="45">
        <f>还本付息!K28</f>
        <v>12434.2100000788</v>
      </c>
      <c r="K38" s="45">
        <f>还本付息!L28</f>
        <v>12434.2100000788</v>
      </c>
      <c r="L38" s="45">
        <f>还本付息!M28</f>
        <v>12434.2100000788</v>
      </c>
      <c r="M38" s="45">
        <f>还本付息!N28</f>
        <v>12434.2100000788</v>
      </c>
      <c r="N38" s="45">
        <f>还本付息!O28</f>
        <v>12434.2100000788</v>
      </c>
      <c r="O38" s="45">
        <f>还本付息!P28</f>
        <v>12434.2100000788</v>
      </c>
      <c r="P38" s="45">
        <f>还本付息!Q28</f>
        <v>12434.2100000788</v>
      </c>
      <c r="Q38" s="45">
        <f>还本付息!R28</f>
        <v>12434.2100000788</v>
      </c>
      <c r="R38" s="45">
        <f>还本付息!S28</f>
        <v>12434.2100000788</v>
      </c>
      <c r="S38" s="45">
        <f>还本付息!T28</f>
        <v>0</v>
      </c>
      <c r="T38" s="45">
        <f>还本付息!U28</f>
        <v>0</v>
      </c>
      <c r="U38" s="45">
        <f>还本付息!V28</f>
        <v>0</v>
      </c>
      <c r="V38" s="45">
        <f>还本付息!W28</f>
        <v>0</v>
      </c>
      <c r="W38" s="45">
        <f>还本付息!X28</f>
        <v>0</v>
      </c>
      <c r="X38" s="45">
        <f>还本付息!Y28</f>
        <v>0</v>
      </c>
      <c r="Y38" s="45">
        <f>还本付息!Z28</f>
        <v>0</v>
      </c>
      <c r="Z38" s="45">
        <f>还本付息!AA28</f>
        <v>0</v>
      </c>
      <c r="AA38" s="45">
        <f>还本付息!AB28</f>
        <v>0</v>
      </c>
      <c r="AB38" s="45">
        <f>还本付息!AC28</f>
        <v>0</v>
      </c>
      <c r="AC38" s="45">
        <f>还本付息!AD28</f>
        <v>0</v>
      </c>
    </row>
    <row r="39" ht="18" customHeight="1" spans="1:29">
      <c r="A39" s="42" t="s">
        <v>1433</v>
      </c>
      <c r="B39" s="91" t="s">
        <v>1434</v>
      </c>
      <c r="C39" s="45"/>
      <c r="D39" s="45"/>
      <c r="E39" s="45"/>
      <c r="F39" s="45"/>
      <c r="G39" s="45"/>
      <c r="H39" s="45"/>
      <c r="I39" s="45"/>
      <c r="J39" s="45"/>
      <c r="K39" s="45"/>
      <c r="L39" s="45"/>
      <c r="M39" s="45"/>
      <c r="N39" s="45"/>
      <c r="O39" s="45"/>
      <c r="P39" s="45"/>
      <c r="Q39" s="45"/>
      <c r="R39" s="45"/>
      <c r="S39" s="45"/>
      <c r="T39" s="45"/>
      <c r="U39" s="45"/>
      <c r="V39" s="45"/>
      <c r="W39" s="45"/>
      <c r="X39" s="45"/>
      <c r="Y39" s="45"/>
      <c r="Z39" s="45"/>
      <c r="AA39" s="45"/>
      <c r="AB39" s="45"/>
      <c r="AC39" s="45"/>
    </row>
    <row r="40" ht="18" customHeight="1" spans="1:29">
      <c r="A40" s="42" t="s">
        <v>1435</v>
      </c>
      <c r="B40" s="91" t="s">
        <v>1416</v>
      </c>
      <c r="C40" s="45"/>
      <c r="D40" s="45"/>
      <c r="E40" s="45"/>
      <c r="F40" s="45"/>
      <c r="G40" s="45"/>
      <c r="H40" s="45"/>
      <c r="I40" s="45"/>
      <c r="J40" s="45"/>
      <c r="K40" s="45"/>
      <c r="L40" s="45"/>
      <c r="M40" s="45"/>
      <c r="N40" s="45"/>
      <c r="O40" s="45"/>
      <c r="P40" s="45"/>
      <c r="Q40" s="45"/>
      <c r="R40" s="45"/>
      <c r="S40" s="45"/>
      <c r="T40" s="45"/>
      <c r="U40" s="45"/>
      <c r="V40" s="45"/>
      <c r="W40" s="45"/>
      <c r="X40" s="45"/>
      <c r="Y40" s="45"/>
      <c r="Z40" s="45"/>
      <c r="AA40" s="45"/>
      <c r="AB40" s="45"/>
      <c r="AC40" s="45"/>
    </row>
    <row r="41" ht="20.25" customHeight="1" spans="1:29">
      <c r="A41" s="42"/>
      <c r="B41" s="91"/>
      <c r="C41" s="45"/>
      <c r="D41" s="45"/>
      <c r="E41" s="45"/>
      <c r="F41" s="45"/>
      <c r="G41" s="45"/>
      <c r="H41" s="45"/>
      <c r="I41" s="45"/>
      <c r="J41" s="45"/>
      <c r="K41" s="45"/>
      <c r="L41" s="45"/>
      <c r="M41" s="45"/>
      <c r="N41" s="45"/>
      <c r="O41" s="45"/>
      <c r="P41" s="45"/>
      <c r="Q41" s="45"/>
      <c r="R41" s="45"/>
      <c r="S41" s="45"/>
      <c r="T41" s="45"/>
      <c r="U41" s="45"/>
      <c r="V41" s="45"/>
      <c r="W41" s="45"/>
      <c r="X41" s="45"/>
      <c r="Y41" s="45"/>
      <c r="Z41" s="45"/>
      <c r="AA41" s="45"/>
      <c r="AB41" s="45"/>
      <c r="AC41" s="45"/>
    </row>
    <row r="42" ht="18" customHeight="1" spans="1:29">
      <c r="A42" s="129">
        <v>4</v>
      </c>
      <c r="B42" s="130" t="s">
        <v>1436</v>
      </c>
      <c r="C42" s="131">
        <f t="shared" ref="C42:W42" si="19">SUM(C6,C20,C28)</f>
        <v>0</v>
      </c>
      <c r="D42" s="131">
        <f t="shared" si="19"/>
        <v>16215.048069168</v>
      </c>
      <c r="E42" s="131">
        <f t="shared" si="19"/>
        <v>16264.5936162957</v>
      </c>
      <c r="F42" s="131">
        <f t="shared" si="19"/>
        <v>16538.3744895748</v>
      </c>
      <c r="G42" s="131">
        <f t="shared" si="19"/>
        <v>16812.1533852797</v>
      </c>
      <c r="H42" s="131">
        <f t="shared" si="19"/>
        <v>17085.9303014327</v>
      </c>
      <c r="I42" s="131">
        <f t="shared" si="19"/>
        <v>17106.5802467671</v>
      </c>
      <c r="J42" s="131">
        <f t="shared" si="19"/>
        <v>17380.3531978759</v>
      </c>
      <c r="K42" s="131">
        <f t="shared" si="19"/>
        <v>17654.1241634883</v>
      </c>
      <c r="L42" s="131">
        <f t="shared" si="19"/>
        <v>17927.8931416189</v>
      </c>
      <c r="M42" s="131">
        <f t="shared" si="19"/>
        <v>16150.5730743934</v>
      </c>
      <c r="N42" s="131">
        <f t="shared" si="19"/>
        <v>16169.1490815169</v>
      </c>
      <c r="O42" s="131">
        <f t="shared" si="19"/>
        <v>16415.5357848937</v>
      </c>
      <c r="P42" s="131">
        <f t="shared" si="19"/>
        <v>16661.9206923712</v>
      </c>
      <c r="Q42" s="131">
        <f t="shared" si="19"/>
        <v>16908.3038021534</v>
      </c>
      <c r="R42" s="131">
        <f t="shared" si="19"/>
        <v>17154.6851124426</v>
      </c>
      <c r="S42" s="131">
        <f t="shared" si="19"/>
        <v>29607.4621311595</v>
      </c>
      <c r="T42" s="131">
        <f t="shared" si="19"/>
        <v>29471.1148532601</v>
      </c>
      <c r="U42" s="131">
        <f t="shared" si="19"/>
        <v>29334.7657704638</v>
      </c>
      <c r="V42" s="131">
        <f t="shared" si="19"/>
        <v>29198.4148809657</v>
      </c>
      <c r="W42" s="131">
        <f t="shared" si="19"/>
        <v>29062.0621829593</v>
      </c>
      <c r="X42" s="131">
        <f t="shared" ref="X42:AC42" si="20">SUM(X6,X20,X28)</f>
        <v>27229.7702464108</v>
      </c>
      <c r="Y42" s="131">
        <f t="shared" si="20"/>
        <v>27093.41392596</v>
      </c>
      <c r="Z42" s="131">
        <f t="shared" si="20"/>
        <v>26957.0557915699</v>
      </c>
      <c r="AA42" s="131">
        <f t="shared" si="20"/>
        <v>26820.6958414265</v>
      </c>
      <c r="AB42" s="131">
        <f t="shared" si="20"/>
        <v>26684.3340737139</v>
      </c>
      <c r="AC42" s="131">
        <f t="shared" si="20"/>
        <v>-147.554189999998</v>
      </c>
    </row>
    <row r="43" ht="18" customHeight="1" spans="1:29">
      <c r="A43" s="129">
        <v>5</v>
      </c>
      <c r="B43" s="130" t="s">
        <v>806</v>
      </c>
      <c r="C43" s="131">
        <f>C42</f>
        <v>0</v>
      </c>
      <c r="D43" s="131">
        <f t="shared" ref="D43:AC43" si="21">IF(C5-ConstructPeriod&lt;OperationPeriod,D42+C43,0)</f>
        <v>16215.048069168</v>
      </c>
      <c r="E43" s="131">
        <f t="shared" si="21"/>
        <v>32479.6416854638</v>
      </c>
      <c r="F43" s="131">
        <f t="shared" si="21"/>
        <v>49018.0161750386</v>
      </c>
      <c r="G43" s="131">
        <f t="shared" si="21"/>
        <v>65830.1695603183</v>
      </c>
      <c r="H43" s="131">
        <f t="shared" si="21"/>
        <v>82916.099861751</v>
      </c>
      <c r="I43" s="131">
        <f t="shared" si="21"/>
        <v>100022.680108518</v>
      </c>
      <c r="J43" s="131">
        <f t="shared" si="21"/>
        <v>117403.033306394</v>
      </c>
      <c r="K43" s="131">
        <f t="shared" si="21"/>
        <v>135057.157469882</v>
      </c>
      <c r="L43" s="131">
        <f t="shared" si="21"/>
        <v>152985.050611501</v>
      </c>
      <c r="M43" s="131">
        <f t="shared" si="21"/>
        <v>169135.623685895</v>
      </c>
      <c r="N43" s="131">
        <f t="shared" si="21"/>
        <v>185304.772767412</v>
      </c>
      <c r="O43" s="131">
        <f t="shared" si="21"/>
        <v>201720.308552305</v>
      </c>
      <c r="P43" s="131">
        <f t="shared" si="21"/>
        <v>218382.229244677</v>
      </c>
      <c r="Q43" s="131">
        <f t="shared" si="21"/>
        <v>235290.53304683</v>
      </c>
      <c r="R43" s="131">
        <f t="shared" si="21"/>
        <v>252445.218159272</v>
      </c>
      <c r="S43" s="131">
        <f t="shared" si="21"/>
        <v>282052.680290432</v>
      </c>
      <c r="T43" s="131">
        <f t="shared" si="21"/>
        <v>311523.795143692</v>
      </c>
      <c r="U43" s="131">
        <f t="shared" si="21"/>
        <v>340858.560914156</v>
      </c>
      <c r="V43" s="131">
        <f t="shared" si="21"/>
        <v>370056.975795122</v>
      </c>
      <c r="W43" s="131">
        <f t="shared" si="21"/>
        <v>399119.037978081</v>
      </c>
      <c r="X43" s="131">
        <f t="shared" si="21"/>
        <v>426348.808224492</v>
      </c>
      <c r="Y43" s="131">
        <f t="shared" si="21"/>
        <v>453442.222150452</v>
      </c>
      <c r="Z43" s="131">
        <f t="shared" si="21"/>
        <v>480399.277942022</v>
      </c>
      <c r="AA43" s="131">
        <f t="shared" si="21"/>
        <v>507219.973783448</v>
      </c>
      <c r="AB43" s="131">
        <f t="shared" si="21"/>
        <v>533904.307857162</v>
      </c>
      <c r="AC43" s="131">
        <f t="shared" si="21"/>
        <v>0</v>
      </c>
    </row>
    <row r="44" ht="18" customHeight="1" spans="1:29">
      <c r="A44" s="42"/>
      <c r="B44" s="91"/>
      <c r="C44" s="42"/>
      <c r="D44" s="42"/>
      <c r="E44" s="42"/>
      <c r="F44" s="42"/>
      <c r="G44" s="42"/>
      <c r="H44" s="42"/>
      <c r="I44" s="42"/>
      <c r="J44" s="42"/>
      <c r="K44" s="42"/>
      <c r="L44" s="42"/>
      <c r="M44" s="42"/>
      <c r="N44" s="42"/>
      <c r="O44" s="42"/>
      <c r="P44" s="42"/>
      <c r="Q44" s="42"/>
      <c r="R44" s="42"/>
      <c r="S44" s="42"/>
      <c r="T44" s="42"/>
      <c r="U44" s="42"/>
      <c r="V44" s="42"/>
      <c r="W44" s="42"/>
    </row>
    <row r="45" spans="1:29">
      <c r="B45" s="135"/>
    </row>
    <row r="46" spans="1:29">
      <c r="E46" s="120"/>
    </row>
    <row r="47" spans="1:29">
      <c r="E47" s="120"/>
    </row>
    <row r="48" spans="1:29">
      <c r="E48" s="120"/>
    </row>
  </sheetData>
  <mergeCells count="3">
    <mergeCell ref="A2:W2"/>
    <mergeCell ref="C4:AC4"/>
    <mergeCell ref="B4:B5"/>
  </mergeCells>
  <printOptions horizontalCentered="1"/>
  <pageMargins left="0" right="0" top="0.393055555555556" bottom="0.738888888888889" header="1.05902777777778" footer="0.36875"/>
  <pageSetup paperSize="9" fitToHeight="5" orientation="portrait"/>
  <headerFooter alignWithMargins="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AD34"/>
  <sheetViews>
    <sheetView showZeros="0" zoomScale="96" zoomScaleNormal="96" topLeftCell="N10" workbookViewId="0">
      <selection activeCell="I44" sqref="I44"/>
    </sheetView>
  </sheetViews>
  <sheetFormatPr defaultColWidth="8.83035714285714" defaultRowHeight="17.6"/>
  <cols>
    <col min="1" max="1" width="4.83035714285714" style="25" customWidth="1"/>
    <col min="2" max="2" width="45.2678571428571" style="25" customWidth="1"/>
    <col min="3" max="3" width="10.1607142857143" style="26" customWidth="1"/>
    <col min="4" max="4" width="13.8303571428571" style="26" customWidth="1"/>
    <col min="5" max="5" width="10.5" style="26" customWidth="1"/>
    <col min="6" max="6" width="12.8303571428571" style="26" customWidth="1"/>
    <col min="7" max="7" width="11.5" style="26" customWidth="1"/>
    <col min="8" max="8" width="10.6607142857143" style="26" customWidth="1"/>
    <col min="9" max="9" width="10.5" style="26" customWidth="1"/>
    <col min="10" max="10" width="12" style="26" customWidth="1"/>
    <col min="11" max="11" width="10.1607142857143" style="26" customWidth="1"/>
    <col min="12" max="12" width="9.16071428571429" style="26" customWidth="1"/>
    <col min="13" max="13" width="11.3303571428571" style="26" customWidth="1"/>
    <col min="14" max="14" width="11.1607142857143" style="26" customWidth="1"/>
    <col min="15" max="15" width="10.1607142857143" style="26" customWidth="1"/>
    <col min="16" max="17" width="9.16071428571429" style="25" customWidth="1"/>
    <col min="18" max="18" width="8.66071428571429" style="25" customWidth="1"/>
    <col min="19" max="19" width="8.05357142857143" style="25" customWidth="1"/>
    <col min="20" max="20" width="9.45535714285714" style="25" customWidth="1"/>
    <col min="21" max="21" width="10.5357142857143" style="25" customWidth="1"/>
    <col min="22" max="22" width="8.33035714285714" style="25" customWidth="1"/>
    <col min="23" max="24" width="7.66071428571429" style="25" customWidth="1"/>
    <col min="25" max="25" width="9" style="25" customWidth="1"/>
    <col min="26" max="30" width="8.5" style="25" customWidth="1"/>
    <col min="31" max="162" width="7" style="25" customWidth="1"/>
    <col min="163" max="16384" width="8.83035714285714" style="25"/>
  </cols>
  <sheetData>
    <row r="1" spans="1:30">
      <c r="A1" s="28"/>
      <c r="B1" s="29"/>
      <c r="C1" s="30"/>
      <c r="D1" s="30"/>
      <c r="E1" s="30"/>
      <c r="F1" s="30"/>
      <c r="G1" s="30"/>
      <c r="H1" s="30"/>
      <c r="I1" s="30"/>
      <c r="J1" s="30"/>
      <c r="K1" s="30"/>
      <c r="L1" s="30"/>
      <c r="M1" s="30"/>
      <c r="N1" s="30"/>
      <c r="O1" s="30"/>
    </row>
    <row r="2" ht="26" spans="1:30">
      <c r="A2" s="33" t="s">
        <v>1437</v>
      </c>
      <c r="B2" s="33"/>
      <c r="C2" s="33"/>
      <c r="D2" s="33"/>
      <c r="E2" s="33"/>
      <c r="F2" s="33"/>
      <c r="G2" s="33"/>
      <c r="H2" s="33"/>
      <c r="I2" s="33"/>
      <c r="J2" s="33"/>
      <c r="K2" s="33"/>
      <c r="L2" s="33"/>
      <c r="M2" s="33"/>
      <c r="N2" s="33"/>
      <c r="O2" s="33"/>
      <c r="P2" s="33"/>
      <c r="Q2" s="33"/>
      <c r="R2" s="33"/>
      <c r="S2" s="33"/>
      <c r="T2" s="33"/>
      <c r="U2" s="33"/>
      <c r="V2" s="33"/>
      <c r="W2" s="33"/>
      <c r="X2" s="33"/>
      <c r="Y2" s="33"/>
    </row>
    <row r="3" ht="18" spans="1:30">
      <c r="A3" s="31"/>
      <c r="B3" s="34" t="str">
        <f>"还款方式为:"&amp;IF(假设及结论!R30=1,"等额本息","等额本金")</f>
        <v>还款方式为:等额本金</v>
      </c>
      <c r="C3" s="36"/>
      <c r="D3" s="96" t="str">
        <f>"贷款年限为："&amp;假设及结论!O30&amp;" 年"</f>
        <v>贷款年限为：15 年</v>
      </c>
      <c r="E3" s="97"/>
      <c r="F3" s="30"/>
      <c r="G3" s="30"/>
      <c r="H3" s="30"/>
      <c r="I3" s="30"/>
      <c r="J3" s="30"/>
      <c r="K3" s="30"/>
      <c r="L3" s="30"/>
      <c r="M3" s="30"/>
      <c r="T3" s="98"/>
      <c r="Y3" s="99" t="s">
        <v>723</v>
      </c>
    </row>
    <row r="4" spans="1:30">
      <c r="A4" s="38" t="s">
        <v>724</v>
      </c>
      <c r="B4" s="100" t="s">
        <v>1438</v>
      </c>
      <c r="C4" s="40" t="s">
        <v>1439</v>
      </c>
      <c r="D4" s="101" t="s">
        <v>1440</v>
      </c>
      <c r="E4" s="102"/>
      <c r="F4" s="102"/>
      <c r="G4" s="102"/>
      <c r="H4" s="102"/>
      <c r="I4" s="102"/>
      <c r="J4" s="102"/>
      <c r="K4" s="102"/>
      <c r="L4" s="102"/>
      <c r="M4" s="102"/>
      <c r="N4" s="102"/>
      <c r="O4" s="102"/>
      <c r="P4" s="102"/>
      <c r="Q4" s="102"/>
      <c r="R4" s="102"/>
      <c r="S4" s="102"/>
      <c r="T4" s="102"/>
      <c r="U4" s="102"/>
      <c r="V4" s="102"/>
      <c r="W4" s="102"/>
      <c r="X4" s="102"/>
      <c r="Y4" s="102"/>
      <c r="Z4" s="102"/>
      <c r="AA4" s="102"/>
      <c r="AB4" s="102"/>
      <c r="AC4" s="102"/>
      <c r="AD4" s="103"/>
    </row>
    <row r="5" spans="1:30">
      <c r="A5" s="43" t="s">
        <v>727</v>
      </c>
      <c r="B5" s="104"/>
      <c r="C5" s="40"/>
      <c r="D5" s="105">
        <v>1</v>
      </c>
      <c r="E5" s="106">
        <v>2</v>
      </c>
      <c r="F5" s="105">
        <v>3</v>
      </c>
      <c r="G5" s="106">
        <v>4</v>
      </c>
      <c r="H5" s="105">
        <v>5</v>
      </c>
      <c r="I5" s="106">
        <v>6</v>
      </c>
      <c r="J5" s="105">
        <v>7</v>
      </c>
      <c r="K5" s="106">
        <v>8</v>
      </c>
      <c r="L5" s="105">
        <v>9</v>
      </c>
      <c r="M5" s="106">
        <v>10</v>
      </c>
      <c r="N5" s="105">
        <v>11</v>
      </c>
      <c r="O5" s="106">
        <v>12</v>
      </c>
      <c r="P5" s="105">
        <v>13</v>
      </c>
      <c r="Q5" s="106">
        <v>14</v>
      </c>
      <c r="R5" s="105">
        <v>15</v>
      </c>
      <c r="S5" s="106">
        <v>16</v>
      </c>
      <c r="T5" s="105">
        <v>17</v>
      </c>
      <c r="U5" s="106">
        <v>18</v>
      </c>
      <c r="V5" s="105">
        <v>19</v>
      </c>
      <c r="W5" s="106">
        <v>20</v>
      </c>
      <c r="X5" s="105">
        <v>21</v>
      </c>
      <c r="Y5" s="106">
        <v>22</v>
      </c>
      <c r="Z5" s="62">
        <v>23</v>
      </c>
      <c r="AA5" s="62">
        <v>24</v>
      </c>
      <c r="AB5" s="62">
        <v>25</v>
      </c>
      <c r="AC5" s="62">
        <v>26</v>
      </c>
      <c r="AD5" s="62">
        <v>27</v>
      </c>
    </row>
    <row r="6" spans="1:30">
      <c r="A6" s="42">
        <v>1</v>
      </c>
      <c r="B6" s="91" t="s">
        <v>1441</v>
      </c>
      <c r="C6" s="49"/>
      <c r="D6" s="49"/>
      <c r="E6" s="40"/>
      <c r="F6" s="40"/>
      <c r="G6" s="40"/>
      <c r="H6" s="40"/>
      <c r="I6" s="40"/>
      <c r="J6" s="40"/>
      <c r="K6" s="40"/>
      <c r="L6" s="40"/>
      <c r="M6" s="40"/>
      <c r="N6" s="40"/>
      <c r="O6" s="40"/>
      <c r="P6" s="40"/>
      <c r="Q6" s="40"/>
      <c r="R6" s="40"/>
      <c r="S6" s="40"/>
      <c r="T6" s="40"/>
      <c r="U6" s="40"/>
      <c r="V6" s="40"/>
      <c r="W6" s="40"/>
      <c r="X6" s="40"/>
      <c r="Y6" s="40"/>
      <c r="Z6" s="62"/>
      <c r="AA6" s="62"/>
      <c r="AB6" s="62"/>
      <c r="AC6" s="62"/>
      <c r="AD6" s="62"/>
    </row>
    <row r="7" s="95" customFormat="1" spans="1:30">
      <c r="A7" s="107">
        <v>1.1</v>
      </c>
      <c r="B7" s="108" t="s">
        <v>1442</v>
      </c>
      <c r="C7" s="109"/>
      <c r="D7" s="109"/>
      <c r="E7" s="109"/>
      <c r="F7" s="109">
        <f>E11</f>
        <v>0</v>
      </c>
      <c r="G7" s="109">
        <f>F11</f>
        <v>0</v>
      </c>
      <c r="H7" s="109">
        <f>G11</f>
        <v>0</v>
      </c>
      <c r="I7" s="109">
        <f>H11</f>
        <v>0</v>
      </c>
      <c r="J7" s="109"/>
      <c r="K7" s="109"/>
      <c r="L7" s="109"/>
      <c r="M7" s="109"/>
      <c r="N7" s="109"/>
      <c r="O7" s="109"/>
      <c r="P7" s="109"/>
      <c r="Q7" s="109"/>
      <c r="R7" s="109"/>
      <c r="S7" s="109"/>
      <c r="T7" s="109"/>
      <c r="U7" s="109"/>
      <c r="V7" s="109"/>
      <c r="W7" s="109"/>
      <c r="X7" s="109"/>
      <c r="Y7" s="109"/>
      <c r="Z7" s="110"/>
      <c r="AA7" s="110"/>
      <c r="AB7" s="110"/>
      <c r="AC7" s="110"/>
      <c r="AD7" s="110"/>
    </row>
    <row r="8" s="95" customFormat="1" spans="1:30">
      <c r="A8" s="107">
        <v>1.2</v>
      </c>
      <c r="B8" s="108" t="s">
        <v>1443</v>
      </c>
      <c r="C8" s="109"/>
      <c r="D8" s="109"/>
      <c r="E8" s="109">
        <f>SUM(E9:E10)</f>
        <v>0</v>
      </c>
      <c r="F8" s="109"/>
      <c r="G8" s="109">
        <f>SUM(G9:G10)</f>
        <v>0</v>
      </c>
      <c r="H8" s="109">
        <f>SUM(H9:H10)</f>
        <v>0</v>
      </c>
      <c r="I8" s="109">
        <f>SUM(I9:I10)</f>
        <v>0</v>
      </c>
      <c r="J8" s="109"/>
      <c r="K8" s="109"/>
      <c r="L8" s="109"/>
      <c r="M8" s="109"/>
      <c r="N8" s="109"/>
      <c r="O8" s="109"/>
      <c r="P8" s="109"/>
      <c r="Q8" s="109"/>
      <c r="R8" s="109"/>
      <c r="S8" s="109"/>
      <c r="T8" s="109"/>
      <c r="U8" s="109"/>
      <c r="V8" s="109"/>
      <c r="W8" s="109"/>
      <c r="X8" s="109"/>
      <c r="Y8" s="109"/>
      <c r="Z8" s="110"/>
      <c r="AA8" s="110"/>
      <c r="AB8" s="110"/>
      <c r="AC8" s="110"/>
      <c r="AD8" s="110"/>
    </row>
    <row r="9" spans="1:30">
      <c r="A9" s="42"/>
      <c r="B9" s="91" t="s">
        <v>1444</v>
      </c>
      <c r="C9" s="46"/>
      <c r="D9" s="46"/>
      <c r="E9" s="46"/>
      <c r="F9" s="111"/>
      <c r="G9" s="46">
        <f>F9*3</f>
        <v>0</v>
      </c>
      <c r="H9" s="46">
        <f>G9</f>
        <v>0</v>
      </c>
      <c r="I9" s="46">
        <f t="shared" ref="I9:O9" si="0">H9</f>
        <v>0</v>
      </c>
      <c r="J9" s="46">
        <f t="shared" si="0"/>
        <v>0</v>
      </c>
      <c r="K9" s="46">
        <f t="shared" si="0"/>
        <v>0</v>
      </c>
      <c r="L9" s="46">
        <f t="shared" si="0"/>
        <v>0</v>
      </c>
      <c r="M9" s="46">
        <f t="shared" si="0"/>
        <v>0</v>
      </c>
      <c r="N9" s="46">
        <f t="shared" si="0"/>
        <v>0</v>
      </c>
      <c r="O9" s="46">
        <f t="shared" si="0"/>
        <v>0</v>
      </c>
      <c r="P9" s="46">
        <f t="shared" ref="P9:Y9" si="1">O9</f>
        <v>0</v>
      </c>
      <c r="Q9" s="46">
        <f t="shared" si="1"/>
        <v>0</v>
      </c>
      <c r="R9" s="46">
        <f t="shared" si="1"/>
        <v>0</v>
      </c>
      <c r="S9" s="46">
        <f t="shared" si="1"/>
        <v>0</v>
      </c>
      <c r="T9" s="46">
        <f t="shared" si="1"/>
        <v>0</v>
      </c>
      <c r="U9" s="46">
        <f t="shared" si="1"/>
        <v>0</v>
      </c>
      <c r="V9" s="46">
        <f t="shared" si="1"/>
        <v>0</v>
      </c>
      <c r="W9" s="46">
        <f t="shared" si="1"/>
        <v>0</v>
      </c>
      <c r="X9" s="46">
        <f t="shared" si="1"/>
        <v>0</v>
      </c>
      <c r="Y9" s="46">
        <f t="shared" si="1"/>
        <v>0</v>
      </c>
      <c r="Z9" s="62"/>
      <c r="AA9" s="62"/>
      <c r="AB9" s="62"/>
      <c r="AC9" s="62"/>
      <c r="AD9" s="62"/>
    </row>
    <row r="10" spans="1:30">
      <c r="A10" s="42"/>
      <c r="B10" s="91" t="s">
        <v>1445</v>
      </c>
      <c r="C10" s="46"/>
      <c r="D10" s="46"/>
      <c r="E10" s="46">
        <f>E7*C6</f>
        <v>0</v>
      </c>
      <c r="F10" s="46">
        <f>F7*C6</f>
        <v>0</v>
      </c>
      <c r="G10" s="46">
        <f>G7*C6</f>
        <v>0</v>
      </c>
      <c r="H10" s="46">
        <f>H7*C6</f>
        <v>0</v>
      </c>
      <c r="I10" s="46">
        <f>I7*C6</f>
        <v>0</v>
      </c>
      <c r="J10" s="46"/>
      <c r="K10" s="46"/>
      <c r="L10" s="46"/>
      <c r="M10" s="46"/>
      <c r="N10" s="46"/>
      <c r="O10" s="46"/>
      <c r="P10" s="46"/>
      <c r="Q10" s="46"/>
      <c r="R10" s="46"/>
      <c r="S10" s="46"/>
      <c r="T10" s="46"/>
      <c r="U10" s="46"/>
      <c r="V10" s="46"/>
      <c r="W10" s="46"/>
      <c r="X10" s="46"/>
      <c r="Y10" s="46"/>
      <c r="Z10" s="62"/>
      <c r="AA10" s="62"/>
      <c r="AB10" s="62"/>
      <c r="AC10" s="62"/>
      <c r="AD10" s="62"/>
    </row>
    <row r="11" spans="1:30">
      <c r="A11" s="42">
        <v>1.3</v>
      </c>
      <c r="B11" s="91" t="s">
        <v>1446</v>
      </c>
      <c r="C11" s="46"/>
      <c r="D11" s="46"/>
      <c r="E11" s="46">
        <f>E7-E9</f>
        <v>0</v>
      </c>
      <c r="F11" s="46">
        <f>F7-F9</f>
        <v>0</v>
      </c>
      <c r="G11" s="46">
        <f>G7-G9</f>
        <v>0</v>
      </c>
      <c r="H11" s="46">
        <f>H7-H9</f>
        <v>0</v>
      </c>
      <c r="I11" s="46">
        <f>I7-I9</f>
        <v>0</v>
      </c>
      <c r="J11" s="46"/>
      <c r="K11" s="46"/>
      <c r="L11" s="46"/>
      <c r="M11" s="46"/>
      <c r="N11" s="46"/>
      <c r="O11" s="46"/>
      <c r="P11" s="46"/>
      <c r="Q11" s="46"/>
      <c r="R11" s="46"/>
      <c r="S11" s="46"/>
      <c r="T11" s="46"/>
      <c r="U11" s="46"/>
      <c r="V11" s="46"/>
      <c r="W11" s="46"/>
      <c r="X11" s="46"/>
      <c r="Y11" s="46"/>
      <c r="Z11" s="62"/>
      <c r="AA11" s="62"/>
      <c r="AB11" s="62"/>
      <c r="AC11" s="62"/>
      <c r="AD11" s="62"/>
    </row>
    <row r="12" spans="1:30">
      <c r="A12" s="42"/>
      <c r="B12" s="91"/>
      <c r="C12" s="46"/>
      <c r="D12" s="46"/>
      <c r="E12" s="46"/>
      <c r="F12" s="46"/>
      <c r="G12" s="46"/>
      <c r="H12" s="46"/>
      <c r="I12" s="46"/>
      <c r="J12" s="46"/>
      <c r="K12" s="46"/>
      <c r="L12" s="46"/>
      <c r="M12" s="46"/>
      <c r="N12" s="46"/>
      <c r="O12" s="46"/>
      <c r="P12" s="46"/>
      <c r="Q12" s="46"/>
      <c r="R12" s="46"/>
      <c r="S12" s="46"/>
      <c r="T12" s="46"/>
      <c r="U12" s="46"/>
      <c r="V12" s="46"/>
      <c r="W12" s="46"/>
      <c r="X12" s="46"/>
      <c r="Y12" s="46"/>
      <c r="Z12" s="62"/>
      <c r="AA12" s="62"/>
      <c r="AB12" s="62"/>
      <c r="AC12" s="62"/>
      <c r="AD12" s="62"/>
    </row>
    <row r="13" spans="1:30">
      <c r="A13" s="42">
        <v>2</v>
      </c>
      <c r="B13" s="112" t="s">
        <v>1447</v>
      </c>
      <c r="C13" s="49">
        <f>DebtRate</f>
        <v>0.036</v>
      </c>
      <c r="D13" s="46">
        <f>资金筹措!C16-资金筹措!C18</f>
        <v>186513.150001182</v>
      </c>
      <c r="E13" s="113">
        <f>IF(ConstructPeriod=2,资金筹措!D16-资金筹措!D18,0)</f>
        <v>0</v>
      </c>
      <c r="F13" s="113"/>
      <c r="G13" s="113"/>
      <c r="H13" s="113"/>
      <c r="I13" s="114"/>
      <c r="J13" s="114"/>
      <c r="K13" s="114"/>
      <c r="L13" s="114"/>
      <c r="M13" s="113"/>
      <c r="N13" s="113"/>
      <c r="O13" s="113"/>
      <c r="P13" s="113"/>
      <c r="Q13" s="113"/>
      <c r="R13" s="113"/>
      <c r="S13" s="113"/>
      <c r="T13" s="113"/>
      <c r="U13" s="40"/>
      <c r="V13" s="40"/>
      <c r="W13" s="40"/>
      <c r="X13" s="40"/>
      <c r="Y13" s="40"/>
      <c r="Z13" s="62"/>
      <c r="AA13" s="62"/>
      <c r="AB13" s="62"/>
      <c r="AC13" s="62"/>
      <c r="AD13" s="62"/>
    </row>
    <row r="14" spans="1:30">
      <c r="A14" s="42">
        <v>2.1</v>
      </c>
      <c r="B14" s="91" t="s">
        <v>1442</v>
      </c>
      <c r="C14" s="46"/>
      <c r="D14" s="40">
        <f>D13</f>
        <v>186513.150001182</v>
      </c>
      <c r="E14" s="113">
        <f>D14+E13</f>
        <v>186513.150001182</v>
      </c>
      <c r="F14" s="113">
        <f t="shared" ref="F14:O14" si="2">E18</f>
        <v>174078.940001104</v>
      </c>
      <c r="G14" s="113">
        <f t="shared" si="2"/>
        <v>161644.730001025</v>
      </c>
      <c r="H14" s="113">
        <f t="shared" si="2"/>
        <v>149210.520000946</v>
      </c>
      <c r="I14" s="113">
        <f t="shared" si="2"/>
        <v>136776.310000867</v>
      </c>
      <c r="J14" s="113">
        <f t="shared" si="2"/>
        <v>124342.100000788</v>
      </c>
      <c r="K14" s="113">
        <f t="shared" si="2"/>
        <v>111907.890000709</v>
      </c>
      <c r="L14" s="113">
        <f t="shared" si="2"/>
        <v>99473.6800006306</v>
      </c>
      <c r="M14" s="113">
        <f t="shared" si="2"/>
        <v>87039.4700005518</v>
      </c>
      <c r="N14" s="113">
        <f t="shared" si="2"/>
        <v>74605.2600004729</v>
      </c>
      <c r="O14" s="113">
        <f t="shared" si="2"/>
        <v>62171.0500003941</v>
      </c>
      <c r="P14" s="113">
        <f t="shared" ref="P14:AD14" si="3">O18</f>
        <v>49736.8400003153</v>
      </c>
      <c r="Q14" s="113">
        <f t="shared" si="3"/>
        <v>37302.6300002364</v>
      </c>
      <c r="R14" s="113">
        <f t="shared" si="3"/>
        <v>24868.4200001576</v>
      </c>
      <c r="S14" s="113">
        <f t="shared" si="3"/>
        <v>12434.2100000788</v>
      </c>
      <c r="T14" s="113">
        <f t="shared" si="3"/>
        <v>-4.72937244921923e-11</v>
      </c>
      <c r="U14" s="113">
        <f t="shared" si="3"/>
        <v>-4.72937244921923e-11</v>
      </c>
      <c r="V14" s="113">
        <f t="shared" si="3"/>
        <v>-4.72937244921923e-11</v>
      </c>
      <c r="W14" s="113">
        <f t="shared" si="3"/>
        <v>-4.72937244921923e-11</v>
      </c>
      <c r="X14" s="113">
        <f t="shared" si="3"/>
        <v>-4.72937244921923e-11</v>
      </c>
      <c r="Y14" s="113">
        <f t="shared" si="3"/>
        <v>-4.72937244921923e-11</v>
      </c>
      <c r="Z14" s="113">
        <f t="shared" si="3"/>
        <v>-4.72937244921923e-11</v>
      </c>
      <c r="AA14" s="113">
        <f t="shared" si="3"/>
        <v>-4.72937244921923e-11</v>
      </c>
      <c r="AB14" s="113">
        <f t="shared" si="3"/>
        <v>-4.72937244921923e-11</v>
      </c>
      <c r="AC14" s="113">
        <f t="shared" si="3"/>
        <v>-4.72937244921923e-11</v>
      </c>
      <c r="AD14" s="113">
        <f t="shared" si="3"/>
        <v>-4.72937244921923e-11</v>
      </c>
    </row>
    <row r="15" spans="1:30">
      <c r="A15" s="42">
        <v>2.2</v>
      </c>
      <c r="B15" s="91" t="s">
        <v>1443</v>
      </c>
      <c r="C15" s="46"/>
      <c r="D15" s="115">
        <v>0</v>
      </c>
      <c r="E15" s="115">
        <f>IF(假设及结论!$R$30=1,IF(E5-ConstructPeriod&gt;DebtPeriod,0,E14*$C$13*POWER(1+$C$13,假设及结论!$O$30-E5+ConstructPeriod+1)/(POWER(1+$C$13,假设及结论!$O$30-E5+ConstructPeriod+1)-1)),E17+E16)</f>
        <v>19148.6834001214</v>
      </c>
      <c r="F15" s="115">
        <f>IF(假设及结论!$R$30=1,IF(F5-ConstructPeriod&gt;DebtPeriod,0,F14*$C$13*POWER(1+$C$13,假设及结论!$O$30-F5+ConstructPeriod+1)/(POWER(1+$C$13,假设及结论!$O$30-F5+ConstructPeriod+1)-1)),F17+F16)</f>
        <v>18701.0518401186</v>
      </c>
      <c r="G15" s="115">
        <f>IF(假设及结论!$R$30=1,IF(G5-ConstructPeriod&gt;DebtPeriod,0,G14*$C$13*POWER(1+$C$13,假设及结论!$O$30-G5+ConstructPeriod+1)/(POWER(1+$C$13,假设及结论!$O$30-G5+ConstructPeriod+1)-1)),G17+G16)</f>
        <v>18253.4202801157</v>
      </c>
      <c r="H15" s="115">
        <f>IF(假设及结论!$R$30=1,IF(H5-ConstructPeriod&gt;DebtPeriod,0,H14*$C$13*POWER(1+$C$13,假设及结论!$O$30-H5+ConstructPeriod+1)/(POWER(1+$C$13,假设及结论!$O$30-H5+ConstructPeriod+1)-1)),H17+H16)</f>
        <v>17805.7887201129</v>
      </c>
      <c r="I15" s="115">
        <f>IF(假设及结论!$R$30=1,IF(I5-ConstructPeriod&gt;DebtPeriod,0,I14*$C$13*POWER(1+$C$13,假设及结论!$O$30-I5+ConstructPeriod+1)/(POWER(1+$C$13,假设及结论!$O$30-I5+ConstructPeriod+1)-1)),I17+I16)</f>
        <v>17358.15716011</v>
      </c>
      <c r="J15" s="115">
        <f>IF(假设及结论!$R$30=1,IF(J5-ConstructPeriod&gt;DebtPeriod,0,J14*$C$13*POWER(1+$C$13,假设及结论!$O$30-J5+ConstructPeriod+1)/(POWER(1+$C$13,假设及结论!$O$30-J5+ConstructPeriod+1)-1)),J17+J16)</f>
        <v>16910.5256001072</v>
      </c>
      <c r="K15" s="115">
        <f>IF(假设及结论!$R$30=1,IF(K5-ConstructPeriod&gt;DebtPeriod,0,K14*$C$13*POWER(1+$C$13,假设及结论!$O$30-K5+ConstructPeriod+1)/(POWER(1+$C$13,假设及结论!$O$30-K5+ConstructPeriod+1)-1)),K17+K16)</f>
        <v>16462.8940401044</v>
      </c>
      <c r="L15" s="115">
        <f>IF(假设及结论!$R$30=1,IF(L5-ConstructPeriod&gt;DebtPeriod,0,L14*$C$13*POWER(1+$C$13,假设及结论!$O$30-L5+ConstructPeriod+1)/(POWER(1+$C$13,假设及结论!$O$30-L5+ConstructPeriod+1)-1)),L17+L16)</f>
        <v>16015.2624801015</v>
      </c>
      <c r="M15" s="115">
        <f>IF(假设及结论!$R$30=1,IF(M5-ConstructPeriod&gt;DebtPeriod,0,M14*$C$13*POWER(1+$C$13,假设及结论!$O$30-M5+ConstructPeriod+1)/(POWER(1+$C$13,假设及结论!$O$30-M5+ConstructPeriod+1)-1)),M17+M16)</f>
        <v>15567.6309200987</v>
      </c>
      <c r="N15" s="115">
        <f>IF(假设及结论!$R$30=1,IF(N5-ConstructPeriod&gt;DebtPeriod,0,N14*$C$13*POWER(1+$C$13,假设及结论!$O$30-N5+ConstructPeriod+1)/(POWER(1+$C$13,假设及结论!$O$30-N5+ConstructPeriod+1)-1)),N17+N16)</f>
        <v>15119.9993600959</v>
      </c>
      <c r="O15" s="115">
        <f>IF(假设及结论!$R$30=1,IF(O5-ConstructPeriod&gt;DebtPeriod,0,O14*$C$13*POWER(1+$C$13,假设及结论!$O$30-O5+ConstructPeriod+1)/(POWER(1+$C$13,假设及结论!$O$30-O5+ConstructPeriod+1)-1)),O17+O16)</f>
        <v>14672.367800093</v>
      </c>
      <c r="P15" s="115">
        <f>IF(假设及结论!$R$30=1,IF(P5-ConstructPeriod&gt;DebtPeriod,0,P14*$C$13*POWER(1+$C$13,假设及结论!$O$30-P5+ConstructPeriod+1)/(POWER(1+$C$13,假设及结论!$O$30-P5+ConstructPeriod+1)-1)),P17+P16)</f>
        <v>14224.7362400902</v>
      </c>
      <c r="Q15" s="115">
        <f>IF(假设及结论!$R$30=1,IF(Q5-ConstructPeriod&gt;DebtPeriod,0,Q14*$C$13*POWER(1+$C$13,假设及结论!$O$30-Q5+ConstructPeriod+1)/(POWER(1+$C$13,假设及结论!$O$30-Q5+ConstructPeriod+1)-1)),Q17+Q16)</f>
        <v>13777.1046800873</v>
      </c>
      <c r="R15" s="115">
        <f>IF(假设及结论!$R$30=1,IF(R5-ConstructPeriod&gt;DebtPeriod,0,R14*$C$13*POWER(1+$C$13,假设及结论!$O$30-R5+ConstructPeriod+1)/(POWER(1+$C$13,假设及结论!$O$30-R5+ConstructPeriod+1)-1)),R17+R16)</f>
        <v>13329.4731200845</v>
      </c>
      <c r="S15" s="115">
        <f>IF(假设及结论!$R$30=1,IF(S5-ConstructPeriod&gt;DebtPeriod,0,S14*$C$13*POWER(1+$C$13,假设及结论!$O$30-S5+ConstructPeriod+1)/(POWER(1+$C$13,假设及结论!$O$30-S5+ConstructPeriod+1)-1)),S17+S16)</f>
        <v>12881.8415600817</v>
      </c>
      <c r="T15" s="115">
        <f>IF(假设及结论!$R$30=1,IF(T5-ConstructPeriod&gt;DebtPeriod,0,T14*$C$13*POWER(1+$C$13,假设及结论!$O$30-T5+ConstructPeriod+1)/(POWER(1+$C$13,假设及结论!$O$30-T5+ConstructPeriod+1)-1)),T17+T16)</f>
        <v>-1.70257408171892e-12</v>
      </c>
      <c r="U15" s="115">
        <f>IF(假设及结论!$R$30=1,IF(U5-ConstructPeriod&gt;DebtPeriod,0,U14*$C$13*POWER(1+$C$13,假设及结论!$O$30-U5+ConstructPeriod+1)/(POWER(1+$C$13,假设及结论!$O$30-U5+ConstructPeriod+1)-1)),U17+U16)</f>
        <v>-1.70257408171892e-12</v>
      </c>
      <c r="V15" s="115">
        <f>IF(假设及结论!$R$30=1,IF(V5-ConstructPeriod&gt;DebtPeriod,0,V14*$C$13*POWER(1+$C$13,假设及结论!$O$30-V5+ConstructPeriod+1)/(POWER(1+$C$13,假设及结论!$O$30-V5+ConstructPeriod+1)-1)),V17+V16)</f>
        <v>-1.70257408171892e-12</v>
      </c>
      <c r="W15" s="115">
        <f>IF(假设及结论!$R$30=1,IF(W5-ConstructPeriod&gt;DebtPeriod,0,W14*$C$13*POWER(1+$C$13,假设及结论!$O$30-W5+ConstructPeriod+1)/(POWER(1+$C$13,假设及结论!$O$30-W5+ConstructPeriod+1)-1)),W17+W16)</f>
        <v>-1.70257408171892e-12</v>
      </c>
      <c r="X15" s="115">
        <f>IF(假设及结论!$R$30=1,IF(X5-ConstructPeriod&gt;DebtPeriod,0,X14*$C$13*POWER(1+$C$13,假设及结论!$O$30-X5+ConstructPeriod+1)/(POWER(1+$C$13,假设及结论!$O$30-X5+ConstructPeriod+1)-1)),X17+X16)</f>
        <v>-1.70257408171892e-12</v>
      </c>
      <c r="Y15" s="115">
        <f>IF(假设及结论!$R$30=1,IF(Y5-ConstructPeriod&gt;DebtPeriod,0,Y14*$C$13*POWER(1+$C$13,假设及结论!$O$30-Y5+ConstructPeriod+1)/(POWER(1+$C$13,假设及结论!$O$30-Y5+ConstructPeriod+1)-1)),Y17+Y16)</f>
        <v>-1.70257408171892e-12</v>
      </c>
      <c r="Z15" s="115">
        <f>IF(假设及结论!$R$30=1,IF(Z5-ConstructPeriod&gt;DebtPeriod,0,Z14*$C$13*POWER(1+$C$13,假设及结论!$O$30-Z5+ConstructPeriod+1)/(POWER(1+$C$13,假设及结论!$O$30-Z5+ConstructPeriod+1)-1)),Z17+Z16)</f>
        <v>-1.70257408171892e-12</v>
      </c>
      <c r="AA15" s="115">
        <f>IF(假设及结论!$R$30=1,IF(AA5-ConstructPeriod&gt;DebtPeriod,0,AA14*$C$13*POWER(1+$C$13,假设及结论!$O$30-AA5+ConstructPeriod+1)/(POWER(1+$C$13,假设及结论!$O$30-AA5+ConstructPeriod+1)-1)),AA17+AA16)</f>
        <v>-1.70257408171892e-12</v>
      </c>
      <c r="AB15" s="115">
        <f>IF(假设及结论!$R$30=1,IF(AB5-ConstructPeriod&gt;DebtPeriod,0,AB14*$C$13*POWER(1+$C$13,假设及结论!$O$30-AB5+ConstructPeriod+1)/(POWER(1+$C$13,假设及结论!$O$30-AB5+ConstructPeriod+1)-1)),AB17+AB16)</f>
        <v>-1.70257408171892e-12</v>
      </c>
      <c r="AC15" s="115">
        <f>IF(假设及结论!$R$30=1,IF(AC5-ConstructPeriod&gt;DebtPeriod,0,AC14*$C$13*POWER(1+$C$13,假设及结论!$O$30-AC5+ConstructPeriod+1)/(POWER(1+$C$13,假设及结论!$O$30-AC5+ConstructPeriod+1)-1)),AC17+AC16)</f>
        <v>-1.70257408171892e-12</v>
      </c>
      <c r="AD15" s="115">
        <f>IF(假设及结论!$R$30=1,IF(AD5-ConstructPeriod&gt;DebtPeriod,0,AD14*$C$13*POWER(1+$C$13,假设及结论!$O$30-AD5+ConstructPeriod+1)/(POWER(1+$C$13,假设及结论!$O$30-AD5+ConstructPeriod+1)-1)),AD17+AD16)</f>
        <v>-1.70257408171892e-12</v>
      </c>
    </row>
    <row r="16" spans="1:30">
      <c r="A16" s="42"/>
      <c r="B16" s="91" t="s">
        <v>1444</v>
      </c>
      <c r="C16" s="46"/>
      <c r="D16" s="46"/>
      <c r="E16" s="115">
        <f>IF(假设及结论!$R$30=1,IF(E5=ConstructPeriod,0,IF(E5-ConstructPeriod&gt;DebtPeriod,0,E15-E17)),IF(E5-ConstructPeriod&gt;DebtPeriod,0,$D$14/DebtPeriod))</f>
        <v>12434.2100000788</v>
      </c>
      <c r="F16" s="115">
        <f>IF(假设及结论!$R$30=1,IF(F5=ConstructPeriod,0,IF(F5-ConstructPeriod&gt;DebtPeriod,0,F15-F17)),IF(F5-ConstructPeriod&gt;DebtPeriod,0,$D$14/DebtPeriod))</f>
        <v>12434.2100000788</v>
      </c>
      <c r="G16" s="115">
        <f>IF(假设及结论!$R$30=1,IF(G5=ConstructPeriod,0,IF(G5-ConstructPeriod&gt;DebtPeriod,0,G15-G17)),IF(G5-ConstructPeriod&gt;DebtPeriod,0,$D$14/DebtPeriod))</f>
        <v>12434.2100000788</v>
      </c>
      <c r="H16" s="115">
        <f>IF(假设及结论!$R$30=1,IF(H5=ConstructPeriod,0,IF(H5-ConstructPeriod&gt;DebtPeriod,0,H15-H17)),IF(H5-ConstructPeriod&gt;DebtPeriod,0,$D$14/DebtPeriod))</f>
        <v>12434.2100000788</v>
      </c>
      <c r="I16" s="115">
        <f>IF(假设及结论!$R$30=1,IF(I5=ConstructPeriod,0,IF(I5-ConstructPeriod&gt;DebtPeriod,0,I15-I17)),IF(I5-ConstructPeriod&gt;DebtPeriod,0,$D$14/DebtPeriod))</f>
        <v>12434.2100000788</v>
      </c>
      <c r="J16" s="115">
        <f>IF(假设及结论!$R$30=1,IF(J5=ConstructPeriod,0,IF(J5-ConstructPeriod&gt;DebtPeriod,0,J15-J17)),IF(J5-ConstructPeriod&gt;DebtPeriod,0,$D$14/DebtPeriod))</f>
        <v>12434.2100000788</v>
      </c>
      <c r="K16" s="115">
        <f>IF(假设及结论!$R$30=1,IF(K5=ConstructPeriod,0,IF(K5-ConstructPeriod&gt;DebtPeriod,0,K15-K17)),IF(K5-ConstructPeriod&gt;DebtPeriod,0,$D$14/DebtPeriod))</f>
        <v>12434.2100000788</v>
      </c>
      <c r="L16" s="115">
        <f>IF(假设及结论!$R$30=1,IF(L5=ConstructPeriod,0,IF(L5-ConstructPeriod&gt;DebtPeriod,0,L15-L17)),IF(L5-ConstructPeriod&gt;DebtPeriod,0,$D$14/DebtPeriod))</f>
        <v>12434.2100000788</v>
      </c>
      <c r="M16" s="115">
        <f>IF(假设及结论!$R$30=1,IF(M5=ConstructPeriod,0,IF(M5-ConstructPeriod&gt;DebtPeriod,0,M15-M17)),IF(M5-ConstructPeriod&gt;DebtPeriod,0,$D$14/DebtPeriod))</f>
        <v>12434.2100000788</v>
      </c>
      <c r="N16" s="115">
        <f>IF(假设及结论!$R$30=1,IF(N5=ConstructPeriod,0,IF(N5-ConstructPeriod&gt;DebtPeriod,0,N15-N17)),IF(N5-ConstructPeriod&gt;DebtPeriod,0,$D$14/DebtPeriod))</f>
        <v>12434.2100000788</v>
      </c>
      <c r="O16" s="115">
        <f>IF(假设及结论!$R$30=1,IF(O5=ConstructPeriod,0,IF(O5-ConstructPeriod&gt;DebtPeriod,0,O15-O17)),IF(O5-ConstructPeriod&gt;DebtPeriod,0,$D$14/DebtPeriod))</f>
        <v>12434.2100000788</v>
      </c>
      <c r="P16" s="115">
        <f>IF(假设及结论!$R$30=1,IF(P5=ConstructPeriod,0,IF(P5-ConstructPeriod&gt;DebtPeriod,0,P15-P17)),IF(P5-ConstructPeriod&gt;DebtPeriod,0,$D$14/DebtPeriod))</f>
        <v>12434.2100000788</v>
      </c>
      <c r="Q16" s="115">
        <f>IF(假设及结论!$R$30=1,IF(Q5=ConstructPeriod,0,IF(Q5-ConstructPeriod&gt;DebtPeriod,0,Q15-Q17)),IF(Q5-ConstructPeriod&gt;DebtPeriod,0,$D$14/DebtPeriod))</f>
        <v>12434.2100000788</v>
      </c>
      <c r="R16" s="115">
        <f>IF(假设及结论!$R$30=1,IF(R5=ConstructPeriod,0,IF(R5-ConstructPeriod&gt;DebtPeriod,0,R15-R17)),IF(R5-ConstructPeriod&gt;DebtPeriod,0,$D$14/DebtPeriod))</f>
        <v>12434.2100000788</v>
      </c>
      <c r="S16" s="115">
        <f>IF(假设及结论!$R$30=1,IF(S5=ConstructPeriod,0,IF(S5-ConstructPeriod&gt;DebtPeriod,0,S15-S17)),IF(S5-ConstructPeriod&gt;DebtPeriod,0,$D$14/DebtPeriod))</f>
        <v>12434.2100000788</v>
      </c>
      <c r="T16" s="115">
        <f>IF(假设及结论!$R$30=1,IF(T5=ConstructPeriod,0,IF(T5-ConstructPeriod&gt;DebtPeriod,0,T15-T17)),IF(T5-ConstructPeriod&gt;DebtPeriod,0,$D$14/DebtPeriod))</f>
        <v>0</v>
      </c>
      <c r="U16" s="115">
        <f>IF(假设及结论!$R$30=1,IF(U5=ConstructPeriod,0,IF(U5-ConstructPeriod&gt;DebtPeriod,0,U15-U17)),IF(U5-ConstructPeriod&gt;DebtPeriod,0,$D$14/DebtPeriod))</f>
        <v>0</v>
      </c>
      <c r="V16" s="115">
        <f>IF(假设及结论!$R$30=1,IF(V5=ConstructPeriod,0,IF(V5-ConstructPeriod&gt;DebtPeriod,0,V15-V17)),IF(V5-ConstructPeriod&gt;DebtPeriod,0,$D$14/DebtPeriod))</f>
        <v>0</v>
      </c>
      <c r="W16" s="115">
        <f>IF(假设及结论!$R$30=1,IF(W5=ConstructPeriod,0,IF(W5-ConstructPeriod&gt;DebtPeriod,0,W15-W17)),IF(W5-ConstructPeriod&gt;DebtPeriod,0,$D$14/DebtPeriod))</f>
        <v>0</v>
      </c>
      <c r="X16" s="115">
        <f>IF(假设及结论!$R$30=1,IF(X5=ConstructPeriod,0,IF(X5-ConstructPeriod&gt;DebtPeriod,0,X15-X17)),IF(X5-ConstructPeriod&gt;DebtPeriod,0,$D$14/DebtPeriod))</f>
        <v>0</v>
      </c>
      <c r="Y16" s="115">
        <f>IF(假设及结论!$R$30=1,IF(Y5=ConstructPeriod,0,IF(Y5-ConstructPeriod&gt;DebtPeriod,0,Y15-Y17)),IF(Y5-ConstructPeriod&gt;DebtPeriod,0,$D$14/DebtPeriod))</f>
        <v>0</v>
      </c>
      <c r="Z16" s="115">
        <f>IF(假设及结论!$R$30=1,IF(Z5=ConstructPeriod,0,IF(Z5-ConstructPeriod&gt;DebtPeriod,0,Z15-Z17)),IF(Z5-ConstructPeriod&gt;DebtPeriod,0,$D$14/DebtPeriod))</f>
        <v>0</v>
      </c>
      <c r="AA16" s="115">
        <f>IF(假设及结论!$R$30=1,IF(AA5=ConstructPeriod,0,IF(AA5-ConstructPeriod&gt;DebtPeriod,0,AA15-AA17)),IF(AA5-ConstructPeriod&gt;DebtPeriod,0,$D$14/DebtPeriod))</f>
        <v>0</v>
      </c>
      <c r="AB16" s="115">
        <f>IF(假设及结论!$R$30=1,IF(AB5=ConstructPeriod,0,IF(AB5-ConstructPeriod&gt;DebtPeriod,0,AB15-AB17)),IF(AB5-ConstructPeriod&gt;DebtPeriod,0,$D$14/DebtPeriod))</f>
        <v>0</v>
      </c>
      <c r="AC16" s="115">
        <f>IF(假设及结论!$R$30=1,IF(AC5=ConstructPeriod,0,IF(AC5-ConstructPeriod&gt;DebtPeriod,0,AC15-AC17)),IF(AC5-ConstructPeriod&gt;DebtPeriod,0,$D$14/DebtPeriod))</f>
        <v>0</v>
      </c>
      <c r="AD16" s="115">
        <f>IF(假设及结论!$R$30=1,IF(AD5=ConstructPeriod,0,IF(AD5-ConstructPeriod&gt;DebtPeriod,0,AD15-AD17)),IF(AD5-ConstructPeriod&gt;DebtPeriod,0,$D$14/DebtPeriod))</f>
        <v>0</v>
      </c>
    </row>
    <row r="17" spans="1:30">
      <c r="A17" s="42"/>
      <c r="B17" s="91" t="s">
        <v>1445</v>
      </c>
      <c r="C17" s="46"/>
      <c r="D17" s="116">
        <v>0</v>
      </c>
      <c r="E17" s="116">
        <f>IF(E5&lt;=ConstructPeriod,资金筹措!D8-E22,E14*$C$13)</f>
        <v>6714.47340004257</v>
      </c>
      <c r="F17" s="116">
        <f>IF(F5&lt;=ConstructPeriod,资金筹措!E8-F22,F14*$C$13)</f>
        <v>6266.84184003973</v>
      </c>
      <c r="G17" s="116">
        <f>IF(G5&lt;=ConstructPeriod,资金筹措!F8-G22,G14*$C$13)</f>
        <v>5819.21028003689</v>
      </c>
      <c r="H17" s="116">
        <f>IF(H5&lt;=ConstructPeriod,资金筹措!G8-H22,H14*$C$13)</f>
        <v>5371.57872003405</v>
      </c>
      <c r="I17" s="116">
        <f>IF(I5&lt;=ConstructPeriod,资金筹措!H8-I22,I14*$C$13)</f>
        <v>4923.94716003121</v>
      </c>
      <c r="J17" s="116">
        <f>IF(J5&lt;=ConstructPeriod,资金筹措!I8-J22,J14*$C$13)</f>
        <v>4476.31560002838</v>
      </c>
      <c r="K17" s="116">
        <f>IF(K5&lt;=ConstructPeriod,资金筹措!J8-K22,K14*$C$13)</f>
        <v>4028.68404002554</v>
      </c>
      <c r="L17" s="116">
        <f>IF(L5&lt;=ConstructPeriod,资金筹措!K8-L22,L14*$C$13)</f>
        <v>3581.0524800227</v>
      </c>
      <c r="M17" s="116">
        <f>IF(M5&lt;=ConstructPeriod,资金筹措!L8-M22,M14*$C$13)</f>
        <v>3133.42092001986</v>
      </c>
      <c r="N17" s="116">
        <f>IF(N5&lt;=ConstructPeriod,资金筹措!M8-N22,N14*$C$13)</f>
        <v>2685.78936001703</v>
      </c>
      <c r="O17" s="116">
        <f>IF(O5&lt;=ConstructPeriod,资金筹措!N8-O22,O14*$C$13)</f>
        <v>2238.15780001419</v>
      </c>
      <c r="P17" s="116">
        <f>IF(P5&lt;=ConstructPeriod,资金筹措!O8-P22,P14*$C$13)</f>
        <v>1790.52624001135</v>
      </c>
      <c r="Q17" s="116">
        <f>IF(Q5&lt;=ConstructPeriod,资金筹措!P8-Q22,Q14*$C$13)</f>
        <v>1342.89468000851</v>
      </c>
      <c r="R17" s="116">
        <f>IF(R5&lt;=ConstructPeriod,资金筹措!Q8-R22,R14*$C$13)</f>
        <v>895.263120005674</v>
      </c>
      <c r="S17" s="116">
        <f>IF(S5&lt;=ConstructPeriod,资金筹措!R8-S22,S14*$C$13)</f>
        <v>447.631560002836</v>
      </c>
      <c r="T17" s="116">
        <f>IF(T5&lt;=ConstructPeriod,资金筹措!S8-T22,T14*$C$13)</f>
        <v>-1.70257408171892e-12</v>
      </c>
      <c r="U17" s="116">
        <f>IF(U5&lt;=ConstructPeriod,资金筹措!T8-U22,U14*$C$13)</f>
        <v>-1.70257408171892e-12</v>
      </c>
      <c r="V17" s="116">
        <f>IF(V5&lt;=ConstructPeriod,资金筹措!U8-V22,V14*$C$13)</f>
        <v>-1.70257408171892e-12</v>
      </c>
      <c r="W17" s="116">
        <f>IF(W5&lt;=ConstructPeriod,资金筹措!V8-W22,W14*$C$13)</f>
        <v>-1.70257408171892e-12</v>
      </c>
      <c r="X17" s="116">
        <f>IF(X5&lt;=ConstructPeriod,资金筹措!W8-X22,X14*$C$13)</f>
        <v>-1.70257408171892e-12</v>
      </c>
      <c r="Y17" s="116">
        <f>IF(Y5&lt;=ConstructPeriod,资金筹措!X8-Y22,Y14*$C$13)</f>
        <v>-1.70257408171892e-12</v>
      </c>
      <c r="Z17" s="116">
        <f>IF(Z5&lt;=ConstructPeriod,资金筹措!Y8-Z22,Z14*$C$13)</f>
        <v>-1.70257408171892e-12</v>
      </c>
      <c r="AA17" s="116">
        <f>IF(AA5&lt;=ConstructPeriod,资金筹措!Z8-AA22,AA14*$C$13)</f>
        <v>-1.70257408171892e-12</v>
      </c>
      <c r="AB17" s="116">
        <f>IF(AB5&lt;=ConstructPeriod,资金筹措!AA8-AB22,AB14*$C$13)</f>
        <v>-1.70257408171892e-12</v>
      </c>
      <c r="AC17" s="116">
        <f>IF(AC5&lt;=ConstructPeriod,资金筹措!AB8-AC22,AC14*$C$13)</f>
        <v>-1.70257408171892e-12</v>
      </c>
      <c r="AD17" s="116">
        <f>IF(AD5&lt;=ConstructPeriod,资金筹措!AC8-AD22,AD14*$C$13)</f>
        <v>-1.70257408171892e-12</v>
      </c>
    </row>
    <row r="18" spans="1:30">
      <c r="A18" s="42">
        <v>2.3</v>
      </c>
      <c r="B18" s="91" t="s">
        <v>1446</v>
      </c>
      <c r="C18" s="46"/>
      <c r="D18" s="46">
        <f>D14</f>
        <v>186513.150001182</v>
      </c>
      <c r="E18" s="115">
        <f>IF(D18=0,0,E14-E16)</f>
        <v>174078.940001104</v>
      </c>
      <c r="F18" s="115">
        <f t="shared" ref="F18:AD18" si="4">IF(E18=0,0,F14-F16)</f>
        <v>161644.730001025</v>
      </c>
      <c r="G18" s="115">
        <f t="shared" si="4"/>
        <v>149210.520000946</v>
      </c>
      <c r="H18" s="115">
        <f t="shared" si="4"/>
        <v>136776.310000867</v>
      </c>
      <c r="I18" s="115">
        <f t="shared" si="4"/>
        <v>124342.100000788</v>
      </c>
      <c r="J18" s="115">
        <f t="shared" si="4"/>
        <v>111907.890000709</v>
      </c>
      <c r="K18" s="115">
        <f t="shared" si="4"/>
        <v>99473.6800006306</v>
      </c>
      <c r="L18" s="115">
        <f t="shared" si="4"/>
        <v>87039.4700005518</v>
      </c>
      <c r="M18" s="115">
        <f t="shared" si="4"/>
        <v>74605.2600004729</v>
      </c>
      <c r="N18" s="115">
        <f t="shared" si="4"/>
        <v>62171.0500003941</v>
      </c>
      <c r="O18" s="115">
        <f t="shared" si="4"/>
        <v>49736.8400003153</v>
      </c>
      <c r="P18" s="115">
        <f t="shared" si="4"/>
        <v>37302.6300002364</v>
      </c>
      <c r="Q18" s="115">
        <f t="shared" si="4"/>
        <v>24868.4200001576</v>
      </c>
      <c r="R18" s="115">
        <f t="shared" si="4"/>
        <v>12434.2100000788</v>
      </c>
      <c r="S18" s="115">
        <f t="shared" si="4"/>
        <v>-4.72937244921923e-11</v>
      </c>
      <c r="T18" s="115">
        <f t="shared" si="4"/>
        <v>-4.72937244921923e-11</v>
      </c>
      <c r="U18" s="115">
        <f t="shared" si="4"/>
        <v>-4.72937244921923e-11</v>
      </c>
      <c r="V18" s="115">
        <f t="shared" si="4"/>
        <v>-4.72937244921923e-11</v>
      </c>
      <c r="W18" s="115">
        <f t="shared" si="4"/>
        <v>-4.72937244921923e-11</v>
      </c>
      <c r="X18" s="115">
        <f t="shared" si="4"/>
        <v>-4.72937244921923e-11</v>
      </c>
      <c r="Y18" s="115">
        <f t="shared" si="4"/>
        <v>-4.72937244921923e-11</v>
      </c>
      <c r="Z18" s="115">
        <f t="shared" si="4"/>
        <v>-4.72937244921923e-11</v>
      </c>
      <c r="AA18" s="115">
        <f t="shared" si="4"/>
        <v>-4.72937244921923e-11</v>
      </c>
      <c r="AB18" s="115">
        <f t="shared" si="4"/>
        <v>-4.72937244921923e-11</v>
      </c>
      <c r="AC18" s="115">
        <f t="shared" si="4"/>
        <v>-4.72937244921923e-11</v>
      </c>
      <c r="AD18" s="115">
        <f t="shared" si="4"/>
        <v>-4.72937244921923e-11</v>
      </c>
    </row>
    <row r="19" s="56" customFormat="1" spans="1:30">
      <c r="A19" s="47"/>
      <c r="B19" s="117"/>
      <c r="C19" s="46"/>
      <c r="D19" s="46"/>
      <c r="E19" s="46"/>
      <c r="F19" s="46"/>
      <c r="G19" s="46"/>
      <c r="H19" s="46"/>
      <c r="I19" s="46"/>
      <c r="J19" s="46"/>
      <c r="K19" s="46"/>
      <c r="L19" s="46"/>
      <c r="M19" s="115"/>
      <c r="N19" s="46"/>
      <c r="O19" s="46"/>
      <c r="P19" s="46"/>
      <c r="Q19" s="46"/>
      <c r="R19" s="46"/>
      <c r="S19" s="46"/>
      <c r="T19" s="46"/>
      <c r="U19" s="46"/>
      <c r="V19" s="46"/>
      <c r="W19" s="46"/>
      <c r="X19" s="46"/>
      <c r="Y19" s="46"/>
      <c r="Z19" s="46"/>
      <c r="AA19" s="46"/>
      <c r="AB19" s="46"/>
      <c r="AC19" s="46"/>
      <c r="AD19" s="46"/>
    </row>
    <row r="20" s="56" customFormat="1" spans="1:30">
      <c r="A20" s="47">
        <v>3</v>
      </c>
      <c r="B20" s="118" t="s">
        <v>818</v>
      </c>
      <c r="C20" s="49">
        <f>circulatingRate</f>
        <v>0.0345</v>
      </c>
      <c r="D20" s="46">
        <f>资金筹措!C18</f>
        <v>0</v>
      </c>
      <c r="E20" s="46"/>
      <c r="F20" s="46"/>
      <c r="G20" s="46"/>
      <c r="H20" s="46"/>
      <c r="I20" s="46"/>
      <c r="J20" s="46"/>
      <c r="K20" s="46"/>
      <c r="L20" s="46"/>
      <c r="M20" s="46"/>
      <c r="N20" s="46"/>
      <c r="O20" s="46"/>
      <c r="P20" s="46"/>
      <c r="Q20" s="46"/>
      <c r="R20" s="46"/>
      <c r="S20" s="46"/>
      <c r="T20" s="46"/>
      <c r="U20" s="46"/>
      <c r="V20" s="46"/>
      <c r="W20" s="46"/>
      <c r="X20" s="46"/>
      <c r="Y20" s="46"/>
      <c r="Z20" s="46"/>
      <c r="AA20" s="46"/>
      <c r="AB20" s="46"/>
      <c r="AC20" s="46"/>
      <c r="AD20" s="46"/>
    </row>
    <row r="21" s="95" customFormat="1" spans="1:30">
      <c r="A21" s="107">
        <v>3.1</v>
      </c>
      <c r="B21" s="119" t="s">
        <v>1448</v>
      </c>
      <c r="C21" s="109"/>
      <c r="D21" s="109">
        <f>D20</f>
        <v>0</v>
      </c>
      <c r="E21" s="109">
        <f t="shared" ref="E21:AD21" si="5">IF(E5&gt;ConstructPeriod+OperationPeriod,0,D21-D23)</f>
        <v>0</v>
      </c>
      <c r="F21" s="109">
        <f t="shared" si="5"/>
        <v>0</v>
      </c>
      <c r="G21" s="109">
        <f t="shared" si="5"/>
        <v>0</v>
      </c>
      <c r="H21" s="109">
        <f t="shared" si="5"/>
        <v>0</v>
      </c>
      <c r="I21" s="109">
        <f t="shared" si="5"/>
        <v>0</v>
      </c>
      <c r="J21" s="109">
        <f t="shared" si="5"/>
        <v>0</v>
      </c>
      <c r="K21" s="109">
        <f t="shared" si="5"/>
        <v>0</v>
      </c>
      <c r="L21" s="109">
        <f t="shared" si="5"/>
        <v>0</v>
      </c>
      <c r="M21" s="109">
        <f t="shared" si="5"/>
        <v>0</v>
      </c>
      <c r="N21" s="109">
        <f t="shared" si="5"/>
        <v>0</v>
      </c>
      <c r="O21" s="109">
        <f t="shared" si="5"/>
        <v>0</v>
      </c>
      <c r="P21" s="109">
        <f t="shared" si="5"/>
        <v>0</v>
      </c>
      <c r="Q21" s="109">
        <f t="shared" si="5"/>
        <v>0</v>
      </c>
      <c r="R21" s="109">
        <f t="shared" si="5"/>
        <v>0</v>
      </c>
      <c r="S21" s="109">
        <f t="shared" si="5"/>
        <v>0</v>
      </c>
      <c r="T21" s="109">
        <f t="shared" si="5"/>
        <v>0</v>
      </c>
      <c r="U21" s="109">
        <f t="shared" si="5"/>
        <v>0</v>
      </c>
      <c r="V21" s="109">
        <f t="shared" si="5"/>
        <v>0</v>
      </c>
      <c r="W21" s="109">
        <f t="shared" si="5"/>
        <v>0</v>
      </c>
      <c r="X21" s="109">
        <f t="shared" si="5"/>
        <v>0</v>
      </c>
      <c r="Y21" s="109">
        <f t="shared" si="5"/>
        <v>0</v>
      </c>
      <c r="Z21" s="109">
        <f t="shared" si="5"/>
        <v>0</v>
      </c>
      <c r="AA21" s="109">
        <f t="shared" si="5"/>
        <v>0</v>
      </c>
      <c r="AB21" s="109">
        <f t="shared" si="5"/>
        <v>0</v>
      </c>
      <c r="AC21" s="109">
        <f t="shared" si="5"/>
        <v>0</v>
      </c>
      <c r="AD21" s="109">
        <f t="shared" si="5"/>
        <v>0</v>
      </c>
    </row>
    <row r="22" s="95" customFormat="1" spans="1:30">
      <c r="A22" s="107">
        <v>3.2</v>
      </c>
      <c r="B22" s="119" t="s">
        <v>1449</v>
      </c>
      <c r="C22" s="109"/>
      <c r="D22" s="109">
        <f>D21*circulatingRate</f>
        <v>0</v>
      </c>
      <c r="E22" s="109">
        <f t="shared" ref="E22:AD22" si="6">E21*circulatingRate</f>
        <v>0</v>
      </c>
      <c r="F22" s="109">
        <f t="shared" si="6"/>
        <v>0</v>
      </c>
      <c r="G22" s="109">
        <f t="shared" si="6"/>
        <v>0</v>
      </c>
      <c r="H22" s="109">
        <f t="shared" si="6"/>
        <v>0</v>
      </c>
      <c r="I22" s="109">
        <f t="shared" si="6"/>
        <v>0</v>
      </c>
      <c r="J22" s="109">
        <f t="shared" si="6"/>
        <v>0</v>
      </c>
      <c r="K22" s="109">
        <f t="shared" si="6"/>
        <v>0</v>
      </c>
      <c r="L22" s="109">
        <f t="shared" si="6"/>
        <v>0</v>
      </c>
      <c r="M22" s="109">
        <f t="shared" si="6"/>
        <v>0</v>
      </c>
      <c r="N22" s="109">
        <f t="shared" si="6"/>
        <v>0</v>
      </c>
      <c r="O22" s="109">
        <f t="shared" si="6"/>
        <v>0</v>
      </c>
      <c r="P22" s="109">
        <f t="shared" si="6"/>
        <v>0</v>
      </c>
      <c r="Q22" s="109">
        <f t="shared" si="6"/>
        <v>0</v>
      </c>
      <c r="R22" s="109">
        <f t="shared" si="6"/>
        <v>0</v>
      </c>
      <c r="S22" s="109">
        <f t="shared" si="6"/>
        <v>0</v>
      </c>
      <c r="T22" s="109">
        <f t="shared" si="6"/>
        <v>0</v>
      </c>
      <c r="U22" s="109">
        <f t="shared" si="6"/>
        <v>0</v>
      </c>
      <c r="V22" s="109">
        <f t="shared" si="6"/>
        <v>0</v>
      </c>
      <c r="W22" s="109">
        <f t="shared" si="6"/>
        <v>0</v>
      </c>
      <c r="X22" s="109">
        <f t="shared" si="6"/>
        <v>0</v>
      </c>
      <c r="Y22" s="109">
        <f t="shared" si="6"/>
        <v>0</v>
      </c>
      <c r="Z22" s="109">
        <f t="shared" si="6"/>
        <v>0</v>
      </c>
      <c r="AA22" s="109">
        <f t="shared" si="6"/>
        <v>0</v>
      </c>
      <c r="AB22" s="109">
        <f t="shared" si="6"/>
        <v>0</v>
      </c>
      <c r="AC22" s="109">
        <f t="shared" si="6"/>
        <v>0</v>
      </c>
      <c r="AD22" s="109">
        <f t="shared" si="6"/>
        <v>0</v>
      </c>
    </row>
    <row r="23" s="56" customFormat="1" spans="1:30">
      <c r="A23" s="47">
        <v>3.3</v>
      </c>
      <c r="B23" s="112" t="s">
        <v>1450</v>
      </c>
      <c r="C23" s="46"/>
      <c r="D23" s="46">
        <v>0</v>
      </c>
      <c r="E23" s="46"/>
      <c r="F23" s="46"/>
      <c r="G23" s="46"/>
      <c r="H23" s="46"/>
      <c r="I23" s="46"/>
      <c r="J23" s="46"/>
      <c r="K23" s="46"/>
      <c r="L23" s="46"/>
      <c r="M23" s="46"/>
      <c r="N23" s="46"/>
      <c r="O23" s="46"/>
      <c r="P23" s="46"/>
      <c r="Q23" s="46"/>
      <c r="R23" s="46"/>
      <c r="S23" s="46"/>
      <c r="T23" s="46"/>
      <c r="U23" s="46"/>
      <c r="V23" s="46"/>
      <c r="W23" s="46"/>
      <c r="X23" s="46"/>
      <c r="Y23" s="46"/>
      <c r="Z23" s="46"/>
      <c r="AA23" s="46"/>
      <c r="AB23" s="46"/>
      <c r="AC23" s="46"/>
      <c r="AD23" s="46"/>
    </row>
    <row r="24" s="56" customFormat="1" spans="1:30">
      <c r="A24" s="47"/>
      <c r="B24" s="117"/>
      <c r="C24" s="46"/>
      <c r="D24" s="46"/>
      <c r="E24" s="46"/>
      <c r="F24" s="46"/>
      <c r="G24" s="46"/>
      <c r="H24" s="46"/>
      <c r="I24" s="46"/>
      <c r="J24" s="46"/>
      <c r="K24" s="46"/>
      <c r="L24" s="46"/>
      <c r="M24" s="46"/>
      <c r="N24" s="46"/>
      <c r="O24" s="46"/>
      <c r="P24" s="46"/>
      <c r="Q24" s="46"/>
      <c r="R24" s="46"/>
      <c r="S24" s="46"/>
      <c r="T24" s="46"/>
      <c r="U24" s="46"/>
      <c r="V24" s="46"/>
      <c r="W24" s="46"/>
      <c r="X24" s="46"/>
      <c r="Y24" s="46"/>
      <c r="Z24" s="46"/>
      <c r="AA24" s="46"/>
      <c r="AB24" s="46"/>
      <c r="AC24" s="46"/>
      <c r="AD24" s="46"/>
    </row>
    <row r="25" s="56" customFormat="1" spans="1:30">
      <c r="A25" s="47">
        <v>4</v>
      </c>
      <c r="B25" s="118" t="s">
        <v>1451</v>
      </c>
      <c r="C25" s="46"/>
      <c r="D25" s="46"/>
      <c r="E25" s="46"/>
      <c r="F25" s="46"/>
      <c r="G25" s="46"/>
      <c r="H25" s="46"/>
      <c r="I25" s="46"/>
      <c r="J25" s="46"/>
      <c r="K25" s="46"/>
      <c r="L25" s="46"/>
      <c r="M25" s="46"/>
      <c r="N25" s="46"/>
      <c r="O25" s="46"/>
      <c r="P25" s="46"/>
      <c r="Q25" s="46"/>
      <c r="R25" s="46"/>
      <c r="S25" s="46"/>
      <c r="T25" s="46"/>
      <c r="U25" s="46"/>
      <c r="V25" s="46"/>
      <c r="W25" s="46"/>
      <c r="X25" s="46"/>
      <c r="Y25" s="46"/>
      <c r="Z25" s="46"/>
      <c r="AA25" s="46"/>
      <c r="AB25" s="46"/>
      <c r="AC25" s="46"/>
      <c r="AD25" s="46"/>
    </row>
    <row r="26" s="56" customFormat="1" spans="1:30">
      <c r="A26" s="47">
        <v>4.1</v>
      </c>
      <c r="B26" s="117" t="s">
        <v>1452</v>
      </c>
      <c r="C26" s="46"/>
      <c r="D26" s="115">
        <f>SUM(D7,D14,D21)</f>
        <v>186513.150001182</v>
      </c>
      <c r="E26" s="115">
        <f t="shared" ref="E26:U26" si="7">SUM(E7,E14,E21)</f>
        <v>186513.150001182</v>
      </c>
      <c r="F26" s="115">
        <f t="shared" si="7"/>
        <v>174078.940001104</v>
      </c>
      <c r="G26" s="115">
        <f t="shared" si="7"/>
        <v>161644.730001025</v>
      </c>
      <c r="H26" s="115">
        <f t="shared" si="7"/>
        <v>149210.520000946</v>
      </c>
      <c r="I26" s="115">
        <f t="shared" si="7"/>
        <v>136776.310000867</v>
      </c>
      <c r="J26" s="115">
        <f t="shared" si="7"/>
        <v>124342.100000788</v>
      </c>
      <c r="K26" s="115">
        <f t="shared" si="7"/>
        <v>111907.890000709</v>
      </c>
      <c r="L26" s="115">
        <f t="shared" si="7"/>
        <v>99473.6800006306</v>
      </c>
      <c r="M26" s="115">
        <f t="shared" si="7"/>
        <v>87039.4700005518</v>
      </c>
      <c r="N26" s="115">
        <f t="shared" si="7"/>
        <v>74605.2600004729</v>
      </c>
      <c r="O26" s="115">
        <f t="shared" si="7"/>
        <v>62171.0500003941</v>
      </c>
      <c r="P26" s="115">
        <f t="shared" si="7"/>
        <v>49736.8400003153</v>
      </c>
      <c r="Q26" s="115">
        <f t="shared" si="7"/>
        <v>37302.6300002364</v>
      </c>
      <c r="R26" s="115">
        <f t="shared" si="7"/>
        <v>24868.4200001576</v>
      </c>
      <c r="S26" s="115">
        <f t="shared" si="7"/>
        <v>12434.2100000788</v>
      </c>
      <c r="T26" s="115">
        <f t="shared" si="7"/>
        <v>-4.72937244921923e-11</v>
      </c>
      <c r="U26" s="46">
        <f t="shared" si="7"/>
        <v>-4.72937244921923e-11</v>
      </c>
      <c r="V26" s="46">
        <f t="shared" ref="V26:AD26" si="8">SUM(V7,V14,V21)</f>
        <v>-4.72937244921923e-11</v>
      </c>
      <c r="W26" s="46">
        <f t="shared" si="8"/>
        <v>-4.72937244921923e-11</v>
      </c>
      <c r="X26" s="46">
        <f t="shared" si="8"/>
        <v>-4.72937244921923e-11</v>
      </c>
      <c r="Y26" s="46">
        <f t="shared" si="8"/>
        <v>-4.72937244921923e-11</v>
      </c>
      <c r="Z26" s="46">
        <f t="shared" si="8"/>
        <v>-4.72937244921923e-11</v>
      </c>
      <c r="AA26" s="46">
        <f t="shared" si="8"/>
        <v>-4.72937244921923e-11</v>
      </c>
      <c r="AB26" s="46">
        <f t="shared" si="8"/>
        <v>-4.72937244921923e-11</v>
      </c>
      <c r="AC26" s="46">
        <f t="shared" si="8"/>
        <v>-4.72937244921923e-11</v>
      </c>
      <c r="AD26" s="46">
        <f t="shared" si="8"/>
        <v>-4.72937244921923e-11</v>
      </c>
    </row>
    <row r="27" s="56" customFormat="1" spans="1:30">
      <c r="A27" s="47">
        <v>4.2</v>
      </c>
      <c r="B27" s="91" t="s">
        <v>1443</v>
      </c>
      <c r="C27" s="46"/>
      <c r="D27" s="115">
        <f>SUM(D8,D15,D22,D23)</f>
        <v>0</v>
      </c>
      <c r="E27" s="115">
        <f t="shared" ref="D27:F27" si="9">SUM(E8,E15,E22,E23)</f>
        <v>19148.6834001214</v>
      </c>
      <c r="F27" s="115">
        <f t="shared" si="9"/>
        <v>18701.0518401186</v>
      </c>
      <c r="G27" s="115">
        <f t="shared" ref="F27:AD27" si="10">SUM(G8,G15,G22,G23)</f>
        <v>18253.4202801157</v>
      </c>
      <c r="H27" s="115">
        <f t="shared" si="10"/>
        <v>17805.7887201129</v>
      </c>
      <c r="I27" s="115">
        <f t="shared" si="10"/>
        <v>17358.15716011</v>
      </c>
      <c r="J27" s="115">
        <f t="shared" si="10"/>
        <v>16910.5256001072</v>
      </c>
      <c r="K27" s="115">
        <f t="shared" si="10"/>
        <v>16462.8940401044</v>
      </c>
      <c r="L27" s="115">
        <f t="shared" si="10"/>
        <v>16015.2624801015</v>
      </c>
      <c r="M27" s="115">
        <f t="shared" si="10"/>
        <v>15567.6309200987</v>
      </c>
      <c r="N27" s="115">
        <f t="shared" si="10"/>
        <v>15119.9993600959</v>
      </c>
      <c r="O27" s="115">
        <f t="shared" si="10"/>
        <v>14672.367800093</v>
      </c>
      <c r="P27" s="115">
        <f t="shared" si="10"/>
        <v>14224.7362400902</v>
      </c>
      <c r="Q27" s="115">
        <f t="shared" si="10"/>
        <v>13777.1046800873</v>
      </c>
      <c r="R27" s="115">
        <f t="shared" si="10"/>
        <v>13329.4731200845</v>
      </c>
      <c r="S27" s="115">
        <f t="shared" si="10"/>
        <v>12881.8415600817</v>
      </c>
      <c r="T27" s="115">
        <f t="shared" si="10"/>
        <v>-1.70257408171892e-12</v>
      </c>
      <c r="U27" s="115">
        <f t="shared" si="10"/>
        <v>-1.70257408171892e-12</v>
      </c>
      <c r="V27" s="115">
        <f t="shared" si="10"/>
        <v>-1.70257408171892e-12</v>
      </c>
      <c r="W27" s="115">
        <f t="shared" si="10"/>
        <v>-1.70257408171892e-12</v>
      </c>
      <c r="X27" s="115">
        <f t="shared" si="10"/>
        <v>-1.70257408171892e-12</v>
      </c>
      <c r="Y27" s="115">
        <f t="shared" si="10"/>
        <v>-1.70257408171892e-12</v>
      </c>
      <c r="Z27" s="115">
        <f t="shared" si="10"/>
        <v>-1.70257408171892e-12</v>
      </c>
      <c r="AA27" s="115">
        <f t="shared" si="10"/>
        <v>-1.70257408171892e-12</v>
      </c>
      <c r="AB27" s="115">
        <f t="shared" si="10"/>
        <v>-1.70257408171892e-12</v>
      </c>
      <c r="AC27" s="115">
        <f t="shared" si="10"/>
        <v>-1.70257408171892e-12</v>
      </c>
      <c r="AD27" s="115">
        <f t="shared" si="10"/>
        <v>-1.70257408171892e-12</v>
      </c>
    </row>
    <row r="28" s="56" customFormat="1" spans="1:30">
      <c r="A28" s="47"/>
      <c r="B28" s="91" t="s">
        <v>1444</v>
      </c>
      <c r="C28" s="46">
        <f>SUM(D28:AD28)</f>
        <v>186513.150001182</v>
      </c>
      <c r="D28" s="115">
        <f>SUM(D9,D16,D23)</f>
        <v>0</v>
      </c>
      <c r="E28" s="115">
        <f>SUM(E9,E16,E23)</f>
        <v>12434.2100000788</v>
      </c>
      <c r="F28" s="115">
        <f>SUM(F9,F16,F23)</f>
        <v>12434.2100000788</v>
      </c>
      <c r="G28" s="115">
        <f>SUM(G9,G16)</f>
        <v>12434.2100000788</v>
      </c>
      <c r="H28" s="115">
        <f t="shared" ref="H28:U28" si="11">SUM(H9,H16)</f>
        <v>12434.2100000788</v>
      </c>
      <c r="I28" s="115">
        <f t="shared" si="11"/>
        <v>12434.2100000788</v>
      </c>
      <c r="J28" s="115">
        <f t="shared" si="11"/>
        <v>12434.2100000788</v>
      </c>
      <c r="K28" s="115">
        <f t="shared" si="11"/>
        <v>12434.2100000788</v>
      </c>
      <c r="L28" s="115">
        <f t="shared" si="11"/>
        <v>12434.2100000788</v>
      </c>
      <c r="M28" s="115">
        <f t="shared" si="11"/>
        <v>12434.2100000788</v>
      </c>
      <c r="N28" s="115">
        <f t="shared" si="11"/>
        <v>12434.2100000788</v>
      </c>
      <c r="O28" s="115">
        <f t="shared" si="11"/>
        <v>12434.2100000788</v>
      </c>
      <c r="P28" s="115">
        <f t="shared" si="11"/>
        <v>12434.2100000788</v>
      </c>
      <c r="Q28" s="115">
        <f t="shared" si="11"/>
        <v>12434.2100000788</v>
      </c>
      <c r="R28" s="115">
        <f t="shared" si="11"/>
        <v>12434.2100000788</v>
      </c>
      <c r="S28" s="115">
        <f t="shared" si="11"/>
        <v>12434.2100000788</v>
      </c>
      <c r="T28" s="115">
        <f t="shared" si="11"/>
        <v>0</v>
      </c>
      <c r="U28" s="46">
        <f t="shared" si="11"/>
        <v>0</v>
      </c>
      <c r="V28" s="46">
        <f t="shared" ref="V28:Y30" si="12">SUM(V9,V16)</f>
        <v>0</v>
      </c>
      <c r="W28" s="46">
        <f t="shared" si="12"/>
        <v>0</v>
      </c>
      <c r="X28" s="46">
        <f t="shared" si="12"/>
        <v>0</v>
      </c>
      <c r="Y28" s="46">
        <f t="shared" si="12"/>
        <v>0</v>
      </c>
      <c r="Z28" s="46">
        <f>SUM(Z9,Z16)</f>
        <v>0</v>
      </c>
      <c r="AA28" s="46">
        <f>SUM(AA9,AA16)</f>
        <v>0</v>
      </c>
      <c r="AB28" s="46">
        <f>SUM(AB9,AB16)</f>
        <v>0</v>
      </c>
      <c r="AC28" s="46">
        <f>SUM(AC9,AC16)</f>
        <v>0</v>
      </c>
      <c r="AD28" s="46">
        <f>SUM(AD9,AD16)</f>
        <v>0</v>
      </c>
    </row>
    <row r="29" s="56" customFormat="1" ht="18" spans="1:30">
      <c r="A29" s="47"/>
      <c r="B29" s="91" t="s">
        <v>1453</v>
      </c>
      <c r="C29" s="46">
        <f>SUM(D29:AD29)</f>
        <v>53715.7872003405</v>
      </c>
      <c r="D29" s="115">
        <f t="shared" ref="D29:AD29" si="13">SUM(D10,D17,D22)</f>
        <v>0</v>
      </c>
      <c r="E29" s="115">
        <f t="shared" si="13"/>
        <v>6714.47340004257</v>
      </c>
      <c r="F29" s="115">
        <f t="shared" si="13"/>
        <v>6266.84184003973</v>
      </c>
      <c r="G29" s="115">
        <f t="shared" si="13"/>
        <v>5819.21028003689</v>
      </c>
      <c r="H29" s="115">
        <f t="shared" si="13"/>
        <v>5371.57872003405</v>
      </c>
      <c r="I29" s="115">
        <f t="shared" si="13"/>
        <v>4923.94716003121</v>
      </c>
      <c r="J29" s="115">
        <f t="shared" si="13"/>
        <v>4476.31560002838</v>
      </c>
      <c r="K29" s="115">
        <f t="shared" si="13"/>
        <v>4028.68404002554</v>
      </c>
      <c r="L29" s="115">
        <f t="shared" si="13"/>
        <v>3581.0524800227</v>
      </c>
      <c r="M29" s="115">
        <f t="shared" si="13"/>
        <v>3133.42092001986</v>
      </c>
      <c r="N29" s="115">
        <f t="shared" si="13"/>
        <v>2685.78936001703</v>
      </c>
      <c r="O29" s="115">
        <f t="shared" si="13"/>
        <v>2238.15780001419</v>
      </c>
      <c r="P29" s="115">
        <f t="shared" si="13"/>
        <v>1790.52624001135</v>
      </c>
      <c r="Q29" s="115">
        <f t="shared" si="13"/>
        <v>1342.89468000851</v>
      </c>
      <c r="R29" s="115">
        <f t="shared" si="13"/>
        <v>895.263120005674</v>
      </c>
      <c r="S29" s="115">
        <f t="shared" si="13"/>
        <v>447.631560002836</v>
      </c>
      <c r="T29" s="115">
        <f t="shared" si="13"/>
        <v>-1.70257408171892e-12</v>
      </c>
      <c r="U29" s="115">
        <f t="shared" si="13"/>
        <v>-1.70257408171892e-12</v>
      </c>
      <c r="V29" s="115">
        <f t="shared" si="13"/>
        <v>-1.70257408171892e-12</v>
      </c>
      <c r="W29" s="115">
        <f t="shared" si="13"/>
        <v>-1.70257408171892e-12</v>
      </c>
      <c r="X29" s="115">
        <f t="shared" si="13"/>
        <v>-1.70257408171892e-12</v>
      </c>
      <c r="Y29" s="115">
        <f t="shared" si="13"/>
        <v>-1.70257408171892e-12</v>
      </c>
      <c r="Z29" s="115">
        <f t="shared" si="13"/>
        <v>-1.70257408171892e-12</v>
      </c>
      <c r="AA29" s="115">
        <f t="shared" si="13"/>
        <v>-1.70257408171892e-12</v>
      </c>
      <c r="AB29" s="115">
        <f t="shared" si="13"/>
        <v>-1.70257408171892e-12</v>
      </c>
      <c r="AC29" s="115">
        <f t="shared" si="13"/>
        <v>-1.70257408171892e-12</v>
      </c>
      <c r="AD29" s="115">
        <f t="shared" si="13"/>
        <v>-1.70257408171892e-12</v>
      </c>
    </row>
    <row r="30" s="56" customFormat="1" spans="1:30">
      <c r="A30" s="47">
        <v>4.3</v>
      </c>
      <c r="B30" s="91" t="s">
        <v>1454</v>
      </c>
      <c r="C30" s="46"/>
      <c r="D30" s="115">
        <f>SUM(D11,D18)</f>
        <v>186513.150001182</v>
      </c>
      <c r="E30" s="115">
        <f>SUM(E11,E18)</f>
        <v>174078.940001104</v>
      </c>
      <c r="F30" s="115">
        <f t="shared" ref="F30:U30" si="14">SUM(F11,F18)</f>
        <v>161644.730001025</v>
      </c>
      <c r="G30" s="115">
        <f t="shared" si="14"/>
        <v>149210.520000946</v>
      </c>
      <c r="H30" s="115">
        <f t="shared" si="14"/>
        <v>136776.310000867</v>
      </c>
      <c r="I30" s="115">
        <f t="shared" si="14"/>
        <v>124342.100000788</v>
      </c>
      <c r="J30" s="115">
        <f t="shared" si="14"/>
        <v>111907.890000709</v>
      </c>
      <c r="K30" s="115">
        <f t="shared" si="14"/>
        <v>99473.6800006306</v>
      </c>
      <c r="L30" s="115">
        <f t="shared" si="14"/>
        <v>87039.4700005518</v>
      </c>
      <c r="M30" s="115">
        <f t="shared" si="14"/>
        <v>74605.2600004729</v>
      </c>
      <c r="N30" s="115">
        <f t="shared" si="14"/>
        <v>62171.0500003941</v>
      </c>
      <c r="O30" s="115">
        <f t="shared" si="14"/>
        <v>49736.8400003153</v>
      </c>
      <c r="P30" s="115">
        <f t="shared" si="14"/>
        <v>37302.6300002364</v>
      </c>
      <c r="Q30" s="115">
        <f t="shared" si="14"/>
        <v>24868.4200001576</v>
      </c>
      <c r="R30" s="115">
        <f t="shared" si="14"/>
        <v>12434.2100000788</v>
      </c>
      <c r="S30" s="115">
        <f t="shared" si="14"/>
        <v>-4.72937244921923e-11</v>
      </c>
      <c r="T30" s="115">
        <f t="shared" si="14"/>
        <v>-4.72937244921923e-11</v>
      </c>
      <c r="U30" s="46">
        <f t="shared" si="14"/>
        <v>-4.72937244921923e-11</v>
      </c>
      <c r="V30" s="46">
        <f t="shared" si="12"/>
        <v>-4.72937244921923e-11</v>
      </c>
      <c r="W30" s="46">
        <f t="shared" si="12"/>
        <v>-4.72937244921923e-11</v>
      </c>
      <c r="X30" s="46">
        <f t="shared" si="12"/>
        <v>-4.72937244921923e-11</v>
      </c>
      <c r="Y30" s="46">
        <f t="shared" si="12"/>
        <v>-4.72937244921923e-11</v>
      </c>
      <c r="Z30" s="46">
        <f>SUM(Z11,Z18)</f>
        <v>-4.72937244921923e-11</v>
      </c>
      <c r="AA30" s="46">
        <f>SUM(AA11,AA18)</f>
        <v>-4.72937244921923e-11</v>
      </c>
      <c r="AB30" s="46">
        <f>SUM(AB11,AB18)</f>
        <v>-4.72937244921923e-11</v>
      </c>
      <c r="AC30" s="46">
        <f>SUM(AC11,AC18)</f>
        <v>-4.72937244921923e-11</v>
      </c>
      <c r="AD30" s="46">
        <f>SUM(AD11,AD18)</f>
        <v>-4.72937244921923e-11</v>
      </c>
    </row>
    <row r="31" spans="1:30">
      <c r="N31" s="120"/>
    </row>
    <row r="32" spans="1:30">
      <c r="B32" s="121" t="s">
        <v>1455</v>
      </c>
      <c r="D32" s="122"/>
      <c r="E32" s="122">
        <f>损益表!E26/E29</f>
        <v>3.90405789249184</v>
      </c>
      <c r="F32" s="122">
        <f>损益表!F26/F29</f>
        <v>4.11981268681563</v>
      </c>
      <c r="G32" s="122">
        <f>损益表!G26/G29</f>
        <v>4.40932224769553</v>
      </c>
      <c r="H32" s="122">
        <f>损益表!H26/H29</f>
        <v>4.7470830145237</v>
      </c>
      <c r="I32" s="122">
        <f>损益表!I26/I29</f>
        <v>5.14625440668146</v>
      </c>
      <c r="J32" s="122">
        <f>损益表!J26/J29</f>
        <v>5.56573580177837</v>
      </c>
      <c r="K32" s="122">
        <f>损益表!K26/K29</f>
        <v>6.14457233255154</v>
      </c>
      <c r="L32" s="122">
        <f>损益表!L26/L29</f>
        <v>6.86811741239176</v>
      </c>
      <c r="M32" s="122">
        <f>损益表!M26/M29</f>
        <v>7.79838899023219</v>
      </c>
      <c r="N32" s="122">
        <f>损益表!N26/N29</f>
        <v>9.03875031429399</v>
      </c>
      <c r="O32" s="122">
        <f>损益表!O26/O29</f>
        <v>10.6562076123267</v>
      </c>
      <c r="P32" s="122">
        <f>损益表!P26/P29</f>
        <v>13.2312019112568</v>
      </c>
      <c r="Q32" s="122">
        <f>损益表!Q26/Q29</f>
        <v>17.5228575120064</v>
      </c>
      <c r="R32" s="122">
        <f>损益表!R26/R29</f>
        <v>26.1061663649584</v>
      </c>
      <c r="S32" s="122">
        <f>损益表!S26/S29</f>
        <v>51.8560882220235</v>
      </c>
      <c r="T32" s="122">
        <f>损益表!T26/T29</f>
        <v>-1.33835620795623e+16</v>
      </c>
      <c r="U32" s="122">
        <f>损益表!U26/U29</f>
        <v>-1.32898977261697e+16</v>
      </c>
      <c r="V32" s="122">
        <f>损益表!V26/V29</f>
        <v>-1.31962321328954e+16</v>
      </c>
      <c r="W32" s="122">
        <f>损益表!W26/W29</f>
        <v>-1.31025652984995e+16</v>
      </c>
      <c r="X32" s="122">
        <f>损益表!X26/X29</f>
        <v>-1.30088972217409e+16</v>
      </c>
      <c r="Y32" s="122">
        <f>损益表!Y26/Y29</f>
        <v>-1.87056086667152e+16</v>
      </c>
      <c r="Z32" s="122">
        <f>损益表!Z26/Z29</f>
        <v>-1.86119381015028e+16</v>
      </c>
      <c r="AA32" s="122">
        <f>损益表!AA26/AA29</f>
        <v>-1.85182662901969e+16</v>
      </c>
      <c r="AB32" s="122">
        <f>损益表!AB26/AB29</f>
        <v>-1.84245932315513e+16</v>
      </c>
      <c r="AC32" s="122">
        <f>损益表!AC26/AC29</f>
        <v>-1.83309189243188e+16</v>
      </c>
      <c r="AD32" s="122">
        <f>损益表!AD26/AD29</f>
        <v>91226691201118.5</v>
      </c>
    </row>
    <row r="33" ht="53" spans="2:30">
      <c r="B33" s="123" t="s">
        <v>1456</v>
      </c>
      <c r="C33" s="124">
        <f>SUM(E33:AD33)/DebtPeriod</f>
        <v>2.1309375112704</v>
      </c>
      <c r="E33" s="124">
        <f>IF(E27&lt;1,0,(损益表!E27-损益表!E13)/E27)</f>
        <v>1.89771232222812</v>
      </c>
      <c r="F33" s="124">
        <f>IF(F27&lt;1,0,(损益表!F27-损益表!F13)/F27)</f>
        <v>1.92198890188882</v>
      </c>
      <c r="G33" s="124">
        <f>IF(G27&lt;1,0,(损益表!G27-损益表!G13)/G27)</f>
        <v>1.96038727943271</v>
      </c>
      <c r="H33" s="124">
        <f>IF(H27&lt;1,0,(损益表!H27-损益表!H13)/H27)</f>
        <v>2.00071618474857</v>
      </c>
      <c r="I33" s="124">
        <f>IF(I27&lt;1,0,(损益表!I27-损益表!I13)/I27)</f>
        <v>2.04312497086789</v>
      </c>
      <c r="J33" s="124">
        <f>IF(J27&lt;1,0,(损益表!J27-损益表!J13)/J27)</f>
        <v>2.07202250215142</v>
      </c>
      <c r="K33" s="124">
        <f>IF(K27&lt;1,0,(损益表!K27-损益表!K13)/K27)</f>
        <v>2.11867609519064</v>
      </c>
      <c r="L33" s="124">
        <f>IF(L27&lt;1,0,(损益表!L27-损益表!L13)/L27)</f>
        <v>2.16793752255787</v>
      </c>
      <c r="M33" s="124">
        <f>IF(M27&lt;1,0,(损益表!M27-损益表!M13)/M27)</f>
        <v>2.22003174107366</v>
      </c>
      <c r="N33" s="124">
        <f>IF(N27&lt;1,0,(损益表!N27-损益表!N13)/N27)</f>
        <v>2.13241675607275</v>
      </c>
      <c r="O33" s="124">
        <f>IF(O27&lt;1,0,(损益表!O27-损益表!O13)/O27)</f>
        <v>2.16829775210393</v>
      </c>
      <c r="P33" s="124">
        <f>IF(P27&lt;1,0,(损益表!P27-损益表!P13)/P27)</f>
        <v>2.22329500173478</v>
      </c>
      <c r="Q33" s="124">
        <f>IF(Q27&lt;1,0,(损益表!Q27-损益表!Q13)/Q27)</f>
        <v>2.28186594264687</v>
      </c>
      <c r="R33" s="124">
        <f>IF(R27&lt;1,0,(损益表!R27-损益表!R13)/R27)</f>
        <v>2.34437061076028</v>
      </c>
      <c r="S33" s="124">
        <f>IF(S27&lt;1,0,(损益表!S27-损益表!S13)/S27)</f>
        <v>2.41121908559775</v>
      </c>
      <c r="T33" s="124">
        <f>IF(T27&lt;1,0,(损益表!T27-损益表!T13)/T27)</f>
        <v>0</v>
      </c>
      <c r="U33" s="124">
        <f>IF(U27&lt;1,0,(损益表!U27-损益表!U13)/U27)</f>
        <v>0</v>
      </c>
      <c r="V33" s="124">
        <f>IF(V27&lt;1,0,(损益表!V27-损益表!V13)/V27)</f>
        <v>0</v>
      </c>
      <c r="W33" s="124">
        <f>IF(W27&lt;1,0,(损益表!W27-损益表!W13)/W27)</f>
        <v>0</v>
      </c>
      <c r="X33" s="124">
        <f>IF(X27&lt;1,0,(损益表!X27-损益表!X13)/X27)</f>
        <v>0</v>
      </c>
      <c r="Y33" s="124">
        <f>IF(Y27&lt;1,0,(损益表!Y27-损益表!Y13)/Y27)</f>
        <v>0</v>
      </c>
      <c r="Z33" s="124">
        <f>IF(Z27&lt;1,0,(损益表!Z27-损益表!Z13)/Z27)</f>
        <v>0</v>
      </c>
      <c r="AA33" s="124">
        <f>IF(AA27&lt;1,0,(损益表!AA27-损益表!AA13)/AA27)</f>
        <v>0</v>
      </c>
      <c r="AB33" s="124">
        <f>IF(AB27&lt;1,0,(损益表!AB27-损益表!AB13)/AB27)</f>
        <v>0</v>
      </c>
      <c r="AC33" s="124">
        <f>IF(AC27&lt;1,0,(损益表!AC27-损益表!AC13)/AC27)</f>
        <v>0</v>
      </c>
      <c r="AD33" s="124">
        <f>IF(AD27&lt;1,0,(损益表!AD27-损益表!AD13)/AD27)</f>
        <v>0</v>
      </c>
    </row>
    <row r="34" spans="2:30">
      <c r="B34" s="71" t="s">
        <v>1457</v>
      </c>
    </row>
  </sheetData>
  <mergeCells count="6">
    <mergeCell ref="A1:B1"/>
    <mergeCell ref="A2:Y2"/>
    <mergeCell ref="D3:E3"/>
    <mergeCell ref="D4:AD4"/>
    <mergeCell ref="B4:B5"/>
    <mergeCell ref="C4:C5"/>
  </mergeCells>
  <printOptions horizontalCentered="1"/>
  <pageMargins left="0" right="0" top="0.51875" bottom="0.235416666666667" header="0.65" footer="0.511805555555556"/>
  <pageSetup paperSize="9" orientation="portrait" blackAndWhite="1"/>
  <headerFooter alignWithMargins="0"/>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4"/>
  <sheetViews>
    <sheetView showZeros="0" view="pageBreakPreview" zoomScaleNormal="100" workbookViewId="0">
      <selection activeCell="I44" sqref="I44"/>
    </sheetView>
  </sheetViews>
  <sheetFormatPr defaultColWidth="8.83035714285714" defaultRowHeight="17.6"/>
  <cols>
    <col min="1" max="1" width="6.66071428571429" style="25" customWidth="1"/>
    <col min="2" max="2" width="30.8035714285714" style="25" customWidth="1"/>
    <col min="3" max="5" width="18.6607142857143" style="27" customWidth="1"/>
    <col min="6" max="6" width="17.1607142857143" style="27" customWidth="1"/>
    <col min="7" max="7" width="9.66071428571429" style="27" customWidth="1"/>
    <col min="8" max="8" width="13.1607142857143" style="27" customWidth="1"/>
    <col min="9" max="9" width="7" style="27" customWidth="1"/>
    <col min="10" max="16384" width="8.83035714285714" style="25"/>
  </cols>
  <sheetData>
    <row r="1" spans="1:9">
      <c r="A1" s="74"/>
      <c r="B1" s="31"/>
      <c r="C1" s="32"/>
      <c r="D1" s="32"/>
      <c r="E1" s="32"/>
      <c r="F1" s="32"/>
      <c r="G1" s="32"/>
      <c r="H1" s="32"/>
      <c r="I1" s="32"/>
    </row>
    <row r="2" ht="26" spans="1:9">
      <c r="A2" s="33" t="s">
        <v>1458</v>
      </c>
      <c r="B2" s="34"/>
      <c r="C2" s="34"/>
      <c r="D2" s="34"/>
      <c r="E2" s="34"/>
      <c r="F2" s="34"/>
      <c r="G2" s="34"/>
      <c r="H2" s="34"/>
      <c r="I2" s="34"/>
    </row>
    <row r="3" ht="18" spans="1:9">
      <c r="A3" s="35"/>
      <c r="B3" s="74"/>
      <c r="C3" s="32"/>
      <c r="D3" s="32"/>
      <c r="E3" s="32"/>
      <c r="F3" s="32" t="s">
        <v>1459</v>
      </c>
      <c r="G3" s="32"/>
      <c r="H3" s="32"/>
      <c r="I3" s="32"/>
    </row>
    <row r="4" spans="1:9">
      <c r="A4" s="75" t="s">
        <v>724</v>
      </c>
      <c r="B4" s="58" t="s">
        <v>1460</v>
      </c>
      <c r="C4" s="76" t="s">
        <v>1461</v>
      </c>
      <c r="D4" s="77"/>
      <c r="E4" s="78"/>
      <c r="F4" s="79" t="s">
        <v>243</v>
      </c>
      <c r="G4" s="80"/>
      <c r="H4" s="80"/>
      <c r="I4" s="81"/>
    </row>
    <row r="5" spans="1:9">
      <c r="A5" s="82" t="s">
        <v>727</v>
      </c>
      <c r="B5" s="60"/>
      <c r="C5" s="78">
        <v>1</v>
      </c>
      <c r="D5" s="78">
        <v>2</v>
      </c>
      <c r="E5" s="78">
        <v>3</v>
      </c>
      <c r="F5" s="83"/>
      <c r="G5" s="80"/>
      <c r="H5" s="80"/>
      <c r="I5" s="80"/>
    </row>
    <row r="6" spans="1:9">
      <c r="A6" s="42">
        <v>1</v>
      </c>
      <c r="B6" s="84" t="s">
        <v>1462</v>
      </c>
      <c r="C6" s="67">
        <f>IF(AND(type=1,ConstructPeriod=1),TotalInvestment,TotalInvestment/2)</f>
        <v>267947.357144546</v>
      </c>
      <c r="D6" s="67">
        <f>TotalInvestment-C6</f>
        <v>0</v>
      </c>
      <c r="E6" s="85">
        <f>SUM(E7:E9)</f>
        <v>0</v>
      </c>
      <c r="F6" s="45">
        <f>SUM(C6:E6)</f>
        <v>267947.357144546</v>
      </c>
      <c r="G6" s="80"/>
      <c r="H6" s="80"/>
      <c r="I6" s="80"/>
    </row>
    <row r="7" spans="1:9">
      <c r="A7" s="42">
        <v>1.1</v>
      </c>
      <c r="B7" s="41" t="s">
        <v>1463</v>
      </c>
      <c r="C7" s="67">
        <f>(C6-C9-C18*circulatingRate)/(1+DebtRate*DebtRatio*50%)</f>
        <v>263131.895264217</v>
      </c>
      <c r="D7" s="67">
        <f>(D6-D9-D18*circulatingRate)/(1+2*DebtRate*DebtRatio)</f>
        <v>0</v>
      </c>
      <c r="E7" s="85"/>
      <c r="F7" s="45">
        <f t="shared" ref="F7:F21" si="0">SUM(C7:E7)</f>
        <v>263131.895264217</v>
      </c>
      <c r="G7" s="80"/>
      <c r="H7" s="80"/>
      <c r="I7" s="80"/>
    </row>
    <row r="8" spans="1:9">
      <c r="A8" s="42">
        <v>1.2</v>
      </c>
      <c r="B8" s="61" t="s">
        <v>1464</v>
      </c>
      <c r="C8" s="67">
        <f>C6-C7-C9</f>
        <v>3315.46188032912</v>
      </c>
      <c r="D8" s="67">
        <f>D6-D7-D9</f>
        <v>0</v>
      </c>
      <c r="E8" s="85"/>
      <c r="F8" s="45">
        <f t="shared" si="0"/>
        <v>3315.46188032912</v>
      </c>
      <c r="G8" s="80"/>
      <c r="H8" s="80"/>
      <c r="I8" s="80"/>
    </row>
    <row r="9" spans="1:9">
      <c r="A9" s="42">
        <v>1.3</v>
      </c>
      <c r="B9" s="41" t="s">
        <v>217</v>
      </c>
      <c r="C9" s="67">
        <f>C14+C18</f>
        <v>1500</v>
      </c>
      <c r="D9" s="85"/>
      <c r="E9" s="85"/>
      <c r="F9" s="86">
        <f t="shared" si="0"/>
        <v>1500</v>
      </c>
      <c r="G9" s="80"/>
      <c r="H9" s="80"/>
      <c r="I9" s="80"/>
    </row>
    <row r="10" spans="1:9">
      <c r="A10" s="42"/>
      <c r="B10" s="41"/>
      <c r="C10" s="87"/>
      <c r="D10" s="85"/>
      <c r="E10" s="85"/>
      <c r="F10" s="45">
        <f t="shared" si="0"/>
        <v>0</v>
      </c>
      <c r="G10" s="80"/>
      <c r="H10" s="80"/>
      <c r="I10" s="80"/>
    </row>
    <row r="11" spans="1:9">
      <c r="A11" s="42">
        <v>2</v>
      </c>
      <c r="B11" s="41" t="s">
        <v>1465</v>
      </c>
      <c r="C11" s="67">
        <f>C12+C16</f>
        <v>267947.357144546</v>
      </c>
      <c r="D11" s="67">
        <f>D6</f>
        <v>0</v>
      </c>
      <c r="E11" s="85">
        <f>E6</f>
        <v>0</v>
      </c>
      <c r="F11" s="45">
        <f t="shared" si="0"/>
        <v>267947.357144546</v>
      </c>
      <c r="G11" s="80"/>
      <c r="H11" s="80"/>
      <c r="I11" s="80"/>
    </row>
    <row r="12" spans="1:9">
      <c r="A12" s="42">
        <v>2.1</v>
      </c>
      <c r="B12" s="41" t="s">
        <v>788</v>
      </c>
      <c r="C12" s="67">
        <f>C13+C14+C15</f>
        <v>81434.2071433639</v>
      </c>
      <c r="D12" s="67">
        <f>D13+D14+D15</f>
        <v>0</v>
      </c>
      <c r="E12" s="85">
        <f>E11-E16</f>
        <v>0</v>
      </c>
      <c r="F12" s="45">
        <f t="shared" si="0"/>
        <v>81434.2071433639</v>
      </c>
      <c r="G12" s="80"/>
      <c r="H12" s="88"/>
      <c r="I12" s="80"/>
    </row>
    <row r="13" spans="1:9">
      <c r="A13" s="42" t="s">
        <v>814</v>
      </c>
      <c r="B13" s="89" t="s">
        <v>1466</v>
      </c>
      <c r="C13" s="66">
        <f>(C6-C9)*(1-DebtRatio)-C15</f>
        <v>79934.2071433639</v>
      </c>
      <c r="D13" s="66">
        <f>IF(ConstructPeriod=1,0,(D6-D9)*DebtRatio-D15)</f>
        <v>0</v>
      </c>
      <c r="E13" s="90">
        <f>E12-E14-E15</f>
        <v>0</v>
      </c>
      <c r="F13" s="45">
        <f t="shared" si="0"/>
        <v>79934.2071433639</v>
      </c>
      <c r="G13" s="80"/>
      <c r="H13" s="80"/>
      <c r="I13" s="80"/>
    </row>
    <row r="14" spans="1:9">
      <c r="A14" s="42" t="s">
        <v>1467</v>
      </c>
      <c r="B14" s="89" t="s">
        <v>1468</v>
      </c>
      <c r="C14" s="67">
        <f>CirculatingFund</f>
        <v>1500</v>
      </c>
      <c r="D14" s="85"/>
      <c r="E14" s="85">
        <f>E9*0.3</f>
        <v>0</v>
      </c>
      <c r="F14" s="45">
        <f t="shared" si="0"/>
        <v>1500</v>
      </c>
      <c r="G14" s="80"/>
      <c r="H14" s="80"/>
      <c r="I14" s="80"/>
    </row>
    <row r="15" spans="1:9">
      <c r="A15" s="42" t="s">
        <v>1469</v>
      </c>
      <c r="B15" s="89" t="s">
        <v>1470</v>
      </c>
      <c r="C15" s="67"/>
      <c r="D15" s="67">
        <f>IF(ConstructPeriod=1,0,(D8-还本付息!E22)*DebtRatio)</f>
        <v>0</v>
      </c>
      <c r="E15" s="85">
        <f>E8</f>
        <v>0</v>
      </c>
      <c r="F15" s="45">
        <f t="shared" si="0"/>
        <v>0</v>
      </c>
      <c r="G15" s="80"/>
      <c r="H15" s="80"/>
      <c r="I15" s="80"/>
    </row>
    <row r="16" spans="1:9">
      <c r="A16" s="42">
        <v>2.2</v>
      </c>
      <c r="B16" s="91" t="s">
        <v>1471</v>
      </c>
      <c r="C16" s="67">
        <f>C17+C18+C19</f>
        <v>186513.150001182</v>
      </c>
      <c r="D16" s="67">
        <f>D17+D18+D19</f>
        <v>0</v>
      </c>
      <c r="E16" s="85">
        <f>SUM(E17:E19)</f>
        <v>0</v>
      </c>
      <c r="F16" s="45">
        <f t="shared" si="0"/>
        <v>186513.150001182</v>
      </c>
      <c r="G16" s="80"/>
      <c r="H16" s="67"/>
      <c r="I16" s="80"/>
    </row>
    <row r="17" spans="1:9">
      <c r="A17" s="42" t="s">
        <v>190</v>
      </c>
      <c r="B17" s="89" t="s">
        <v>1466</v>
      </c>
      <c r="C17" s="67">
        <f>(C6-C9)*(DebtRatio)-C19</f>
        <v>183197.688120853</v>
      </c>
      <c r="D17" s="67">
        <f>IF(ConstructPeriod=1,0,(D6-D9)*(1-DebtRatio)-D19)</f>
        <v>0</v>
      </c>
      <c r="E17" s="85"/>
      <c r="F17" s="45">
        <f t="shared" si="0"/>
        <v>183197.688120853</v>
      </c>
      <c r="G17" s="80"/>
      <c r="H17" s="80"/>
      <c r="I17" s="80"/>
    </row>
    <row r="18" spans="1:9">
      <c r="A18" s="42" t="s">
        <v>192</v>
      </c>
      <c r="B18" s="89" t="s">
        <v>1468</v>
      </c>
      <c r="C18" s="92">
        <f>CirculatingFund-C14</f>
        <v>0</v>
      </c>
      <c r="D18" s="85"/>
      <c r="E18" s="85">
        <f>E9-E14</f>
        <v>0</v>
      </c>
      <c r="F18" s="45">
        <f t="shared" si="0"/>
        <v>0</v>
      </c>
      <c r="G18" s="80"/>
      <c r="H18" s="80"/>
      <c r="I18" s="80"/>
    </row>
    <row r="19" spans="1:9">
      <c r="A19" s="42" t="s">
        <v>194</v>
      </c>
      <c r="B19" s="89" t="s">
        <v>1470</v>
      </c>
      <c r="C19" s="67">
        <f>(C8-还本付息!D22)</f>
        <v>3315.46188032912</v>
      </c>
      <c r="D19" s="67">
        <f>IF(ConstructPeriod=1,0,(D8-还本付息!E22)*(1-DebtRatio))</f>
        <v>0</v>
      </c>
      <c r="E19" s="85"/>
      <c r="F19" s="45">
        <f t="shared" si="0"/>
        <v>3315.46188032912</v>
      </c>
      <c r="G19" s="80"/>
      <c r="H19" s="80"/>
      <c r="I19" s="80"/>
    </row>
    <row r="20" spans="1:9">
      <c r="A20" s="42"/>
      <c r="B20" s="41"/>
      <c r="C20" s="45"/>
      <c r="D20" s="45"/>
      <c r="E20" s="45"/>
      <c r="F20" s="45">
        <f t="shared" si="0"/>
        <v>0</v>
      </c>
      <c r="G20" s="80"/>
      <c r="H20" s="80"/>
      <c r="I20" s="80"/>
    </row>
    <row r="21" spans="1:9">
      <c r="A21" s="42">
        <v>2.3</v>
      </c>
      <c r="B21" s="41" t="s">
        <v>1472</v>
      </c>
      <c r="C21" s="45"/>
      <c r="D21" s="45"/>
      <c r="E21" s="45"/>
      <c r="F21" s="45">
        <f t="shared" si="0"/>
        <v>0</v>
      </c>
      <c r="G21" s="80"/>
      <c r="H21" s="80"/>
      <c r="I21" s="80"/>
    </row>
    <row r="22" spans="1:9">
      <c r="A22" s="41"/>
      <c r="B22" s="41"/>
      <c r="C22" s="93"/>
      <c r="D22" s="93"/>
      <c r="E22" s="93"/>
      <c r="F22" s="93"/>
      <c r="G22" s="32"/>
      <c r="H22" s="32"/>
      <c r="I22" s="32"/>
    </row>
    <row r="23" spans="1:9">
      <c r="A23" s="94"/>
      <c r="B23" s="31"/>
      <c r="C23" s="32"/>
      <c r="D23" s="32"/>
      <c r="E23" s="32"/>
      <c r="F23" s="32"/>
      <c r="G23" s="32"/>
      <c r="H23" s="32"/>
      <c r="I23" s="32"/>
    </row>
    <row r="24" spans="1:9">
      <c r="B24" s="27"/>
    </row>
  </sheetData>
  <mergeCells count="4">
    <mergeCell ref="A2:F2"/>
    <mergeCell ref="C4:E4"/>
    <mergeCell ref="B4:B5"/>
    <mergeCell ref="F4:F5"/>
  </mergeCells>
  <printOptions horizontalCentered="1"/>
  <pageMargins left="0" right="0" top="1.41666666666667" bottom="0.984027777777778" header="0.511805555555556" footer="0.511805555555556"/>
  <pageSetup paperSize="9" orientation="portrait"/>
  <headerFooter alignWithMargins="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44"/>
  <sheetViews>
    <sheetView showZeros="0" view="pageBreakPreview" zoomScale="129" zoomScaleNormal="75" topLeftCell="A2" workbookViewId="0">
      <selection activeCell="H7" sqref="H7"/>
    </sheetView>
  </sheetViews>
  <sheetFormatPr defaultColWidth="8.83035714285714" defaultRowHeight="17.6"/>
  <cols>
    <col min="1" max="3" width="4.83035714285714" style="25" customWidth="1"/>
    <col min="4" max="4" width="15.6607142857143" style="25" customWidth="1"/>
    <col min="5" max="5" width="11.7678571428571" style="26" customWidth="1"/>
    <col min="6" max="6" width="8.16071428571429" style="25" customWidth="1"/>
    <col min="7" max="7" width="8.16071428571429" style="27" customWidth="1"/>
    <col min="8" max="8" width="9.66071428571429" style="27" customWidth="1"/>
    <col min="9" max="16" width="9.10714285714286" style="27" customWidth="1"/>
    <col min="17" max="17" width="7.83035714285714" style="27" customWidth="1"/>
    <col min="18" max="26" width="7.83035714285714" style="25" customWidth="1"/>
    <col min="27" max="27" width="9.16071428571429" style="25" customWidth="1"/>
    <col min="28" max="28" width="6.5" style="25" customWidth="1"/>
    <col min="29" max="29" width="7" style="25" customWidth="1"/>
    <col min="30" max="30" width="7.66071428571429" style="25" customWidth="1"/>
    <col min="31" max="31" width="8.66071428571429" style="25" customWidth="1"/>
    <col min="32" max="32" width="8.83035714285714" style="25"/>
    <col min="33" max="33" width="6.5" style="25" customWidth="1"/>
    <col min="34" max="16384" width="8.83035714285714" style="25"/>
  </cols>
  <sheetData>
    <row r="1" ht="18" customHeight="1" spans="1:33">
      <c r="A1" s="28"/>
      <c r="B1" s="28"/>
      <c r="C1" s="28"/>
      <c r="D1" s="29"/>
      <c r="E1"/>
      <c r="F1" s="31"/>
      <c r="G1" s="32"/>
      <c r="H1" s="32"/>
      <c r="I1" s="32"/>
      <c r="J1" s="32"/>
      <c r="K1" s="32"/>
      <c r="L1" s="32"/>
      <c r="M1" s="32"/>
      <c r="N1" s="32"/>
      <c r="O1" s="32"/>
      <c r="P1" s="32"/>
      <c r="Q1" s="32"/>
    </row>
    <row r="2" ht="25" customHeight="1" spans="1:33">
      <c r="A2" s="33" t="s">
        <v>1473</v>
      </c>
      <c r="B2" s="33"/>
      <c r="C2" s="33"/>
      <c r="D2" s="33"/>
      <c r="E2" s="33"/>
      <c r="F2" s="33"/>
      <c r="G2" s="33"/>
      <c r="H2" s="33"/>
      <c r="I2" s="33"/>
      <c r="J2" s="33"/>
      <c r="K2" s="33"/>
      <c r="L2" s="33"/>
      <c r="M2" s="33"/>
      <c r="N2" s="33"/>
      <c r="O2" s="33"/>
      <c r="P2" s="33"/>
      <c r="Q2" s="33"/>
      <c r="R2" s="33"/>
      <c r="S2" s="33"/>
      <c r="T2" s="33"/>
      <c r="U2" s="33"/>
      <c r="V2" s="33"/>
      <c r="W2" s="33"/>
      <c r="X2" s="33"/>
      <c r="Y2" s="33"/>
      <c r="Z2" s="33"/>
      <c r="AA2" s="33"/>
    </row>
    <row r="3" ht="18" customHeight="1" spans="1:33">
      <c r="A3" s="57"/>
      <c r="B3" s="57"/>
      <c r="C3" s="57"/>
      <c r="D3" s="35"/>
      <c r="E3" s="36"/>
      <c r="F3" s="35"/>
      <c r="G3" s="32"/>
      <c r="H3" s="32"/>
      <c r="I3" s="32"/>
      <c r="J3" s="32"/>
      <c r="K3" s="32"/>
      <c r="L3" s="32"/>
      <c r="M3" s="32"/>
      <c r="N3" s="32"/>
      <c r="O3" s="32"/>
      <c r="P3" s="32"/>
      <c r="Q3" s="32"/>
      <c r="AA3" s="37" t="s">
        <v>723</v>
      </c>
    </row>
    <row r="4" ht="22" customHeight="1" spans="1:33">
      <c r="A4" s="38" t="s">
        <v>724</v>
      </c>
      <c r="B4" s="38"/>
      <c r="C4" s="38"/>
      <c r="D4" s="58" t="s">
        <v>1474</v>
      </c>
      <c r="E4" s="40" t="s">
        <v>243</v>
      </c>
      <c r="F4" s="41" t="s">
        <v>1475</v>
      </c>
      <c r="G4" s="59" t="s">
        <v>726</v>
      </c>
      <c r="H4" s="59"/>
      <c r="I4" s="59"/>
      <c r="J4" s="59"/>
      <c r="K4" s="59"/>
      <c r="L4" s="59"/>
      <c r="M4" s="59"/>
      <c r="N4" s="59"/>
      <c r="O4" s="59"/>
      <c r="P4" s="59"/>
      <c r="Q4" s="59"/>
      <c r="R4" s="59"/>
      <c r="S4" s="59"/>
      <c r="T4" s="59"/>
      <c r="U4" s="59"/>
      <c r="V4" s="59"/>
      <c r="W4" s="59"/>
      <c r="X4" s="59"/>
      <c r="Y4" s="59"/>
      <c r="Z4" s="59"/>
      <c r="AA4" s="59"/>
      <c r="AB4" s="59"/>
      <c r="AC4" s="59"/>
      <c r="AD4" s="59"/>
      <c r="AE4" s="59"/>
      <c r="AF4" s="59"/>
      <c r="AG4" s="59"/>
    </row>
    <row r="5" ht="22" customHeight="1" spans="1:33">
      <c r="A5" s="43" t="s">
        <v>727</v>
      </c>
      <c r="B5" s="43"/>
      <c r="C5" s="43"/>
      <c r="D5" s="60"/>
      <c r="E5" s="40"/>
      <c r="F5" s="42" t="s">
        <v>1476</v>
      </c>
      <c r="G5" s="45">
        <v>1</v>
      </c>
      <c r="H5" s="45">
        <v>2</v>
      </c>
      <c r="I5" s="45">
        <v>3</v>
      </c>
      <c r="J5" s="45">
        <v>4</v>
      </c>
      <c r="K5" s="45">
        <v>5</v>
      </c>
      <c r="L5" s="45">
        <v>6</v>
      </c>
      <c r="M5" s="45">
        <v>7</v>
      </c>
      <c r="N5" s="45">
        <v>8</v>
      </c>
      <c r="O5" s="45">
        <v>9</v>
      </c>
      <c r="P5" s="45">
        <v>10</v>
      </c>
      <c r="Q5" s="45">
        <v>11</v>
      </c>
      <c r="R5" s="45">
        <v>12</v>
      </c>
      <c r="S5" s="45">
        <v>13</v>
      </c>
      <c r="T5" s="45">
        <v>14</v>
      </c>
      <c r="U5" s="45">
        <v>15</v>
      </c>
      <c r="V5" s="45">
        <v>16</v>
      </c>
      <c r="W5" s="45">
        <v>17</v>
      </c>
      <c r="X5" s="45">
        <v>18</v>
      </c>
      <c r="Y5" s="45">
        <v>19</v>
      </c>
      <c r="Z5" s="45">
        <v>20</v>
      </c>
      <c r="AA5" s="45">
        <v>21</v>
      </c>
      <c r="AB5" s="45">
        <v>22</v>
      </c>
      <c r="AC5" s="45">
        <v>23</v>
      </c>
      <c r="AD5" s="45">
        <v>24</v>
      </c>
      <c r="AE5" s="45">
        <v>25</v>
      </c>
      <c r="AF5" s="45">
        <v>26</v>
      </c>
      <c r="AG5" s="45">
        <v>27</v>
      </c>
    </row>
    <row r="6" ht="17.25" customHeight="1" spans="1:33">
      <c r="A6" s="42">
        <v>1</v>
      </c>
      <c r="B6" s="42"/>
      <c r="C6" s="42"/>
      <c r="D6" s="61" t="s">
        <v>1477</v>
      </c>
      <c r="E6" s="46"/>
      <c r="F6" s="47"/>
      <c r="G6" s="48"/>
      <c r="H6" s="48"/>
      <c r="I6" s="45"/>
      <c r="J6" s="45"/>
      <c r="K6" s="45"/>
      <c r="L6" s="45"/>
      <c r="M6" s="45"/>
      <c r="N6" s="45"/>
      <c r="O6" s="45"/>
      <c r="P6" s="45"/>
      <c r="Q6" s="45"/>
      <c r="R6" s="45"/>
      <c r="S6" s="45"/>
      <c r="T6" s="45"/>
      <c r="U6" s="45"/>
      <c r="V6" s="45"/>
      <c r="W6" s="45"/>
      <c r="X6" s="45"/>
      <c r="Y6" s="45"/>
      <c r="Z6" s="45"/>
      <c r="AA6" s="45"/>
      <c r="AB6" s="62"/>
      <c r="AC6" s="62"/>
      <c r="AD6" s="62"/>
      <c r="AE6" s="62"/>
      <c r="AF6" s="62"/>
      <c r="AG6" s="62"/>
    </row>
    <row r="7" ht="17.25" customHeight="1" spans="1:33">
      <c r="A7" s="42">
        <v>1.1</v>
      </c>
      <c r="B7" s="42"/>
      <c r="C7" s="42"/>
      <c r="D7" s="41" t="s">
        <v>857</v>
      </c>
      <c r="E7" s="46">
        <f>FixedAssets-销售收入!C38</f>
        <v>266447.357144546</v>
      </c>
      <c r="F7" s="49">
        <f>(1-假设及结论!H33)/DeprecitionPeriod</f>
        <v>0.038</v>
      </c>
      <c r="G7" s="63"/>
      <c r="H7" s="63">
        <f t="shared" ref="H7:AG7" si="0">IF(H5-ConstructPeriod&lt;=OperationPeriod,IF(H5&lt;=ConstructPeriod,0,IF(G9=0,$E$7,G9)),0)</f>
        <v>266447.357144546</v>
      </c>
      <c r="I7" s="63">
        <f t="shared" si="0"/>
        <v>256322.357573054</v>
      </c>
      <c r="J7" s="63">
        <f t="shared" si="0"/>
        <v>246197.358001561</v>
      </c>
      <c r="K7" s="63">
        <f t="shared" si="0"/>
        <v>236072.358430068</v>
      </c>
      <c r="L7" s="63">
        <f t="shared" si="0"/>
        <v>225947.358858575</v>
      </c>
      <c r="M7" s="63">
        <f t="shared" si="0"/>
        <v>215822.359287083</v>
      </c>
      <c r="N7" s="63">
        <f t="shared" si="0"/>
        <v>205697.35971559</v>
      </c>
      <c r="O7" s="63">
        <f t="shared" si="0"/>
        <v>195572.360144097</v>
      </c>
      <c r="P7" s="63">
        <f t="shared" si="0"/>
        <v>185447.360572604</v>
      </c>
      <c r="Q7" s="63">
        <f t="shared" si="0"/>
        <v>175322.361001112</v>
      </c>
      <c r="R7" s="63">
        <f t="shared" si="0"/>
        <v>165197.361429619</v>
      </c>
      <c r="S7" s="63">
        <f t="shared" si="0"/>
        <v>155072.361858126</v>
      </c>
      <c r="T7" s="63">
        <f t="shared" si="0"/>
        <v>144947.362286633</v>
      </c>
      <c r="U7" s="63">
        <f t="shared" si="0"/>
        <v>134822.362715141</v>
      </c>
      <c r="V7" s="63">
        <f t="shared" si="0"/>
        <v>124697.363143648</v>
      </c>
      <c r="W7" s="63">
        <f t="shared" si="0"/>
        <v>114572.363572155</v>
      </c>
      <c r="X7" s="63">
        <f t="shared" si="0"/>
        <v>104447.364000662</v>
      </c>
      <c r="Y7" s="63">
        <f t="shared" si="0"/>
        <v>94322.3644291695</v>
      </c>
      <c r="Z7" s="63">
        <f t="shared" si="0"/>
        <v>84197.3648576768</v>
      </c>
      <c r="AA7" s="63">
        <f t="shared" si="0"/>
        <v>74072.365286184</v>
      </c>
      <c r="AB7" s="63">
        <f t="shared" si="0"/>
        <v>63947.3657146912</v>
      </c>
      <c r="AC7" s="63">
        <f t="shared" si="0"/>
        <v>63947.3657146912</v>
      </c>
      <c r="AD7" s="63">
        <f t="shared" si="0"/>
        <v>63947.3657146912</v>
      </c>
      <c r="AE7" s="63">
        <f t="shared" si="0"/>
        <v>63947.3657146912</v>
      </c>
      <c r="AF7" s="63">
        <f t="shared" si="0"/>
        <v>63947.3657146912</v>
      </c>
      <c r="AG7" s="63">
        <f t="shared" si="0"/>
        <v>0</v>
      </c>
    </row>
    <row r="8" ht="17.25" customHeight="1" spans="1:33">
      <c r="A8" s="42">
        <v>1.2</v>
      </c>
      <c r="B8" s="42"/>
      <c r="C8" s="42"/>
      <c r="D8" s="41" t="s">
        <v>1478</v>
      </c>
      <c r="E8" s="46">
        <f>SUM(H8:AG8)</f>
        <v>202499.991429855</v>
      </c>
      <c r="F8" s="47"/>
      <c r="G8" s="63">
        <f t="shared" ref="G8:AA8" si="1">IF(G5&lt;=ConstructPeriod,0,IF(G5-ConstructPeriod&gt;DeprecitionPeriod,0,$F$7*$E$7))</f>
        <v>0</v>
      </c>
      <c r="H8" s="63">
        <f>IF(H5&lt;=ConstructPeriod,0,IF(H5-ConstructPeriod&gt;DeprecitionPeriod,0,$F$7*$E$7))</f>
        <v>10124.9995714928</v>
      </c>
      <c r="I8" s="63">
        <f t="shared" si="1"/>
        <v>10124.9995714928</v>
      </c>
      <c r="J8" s="63">
        <f t="shared" si="1"/>
        <v>10124.9995714928</v>
      </c>
      <c r="K8" s="63">
        <f t="shared" si="1"/>
        <v>10124.9995714928</v>
      </c>
      <c r="L8" s="63">
        <f t="shared" si="1"/>
        <v>10124.9995714928</v>
      </c>
      <c r="M8" s="63">
        <f t="shared" si="1"/>
        <v>10124.9995714928</v>
      </c>
      <c r="N8" s="63">
        <f t="shared" si="1"/>
        <v>10124.9995714928</v>
      </c>
      <c r="O8" s="63">
        <f t="shared" si="1"/>
        <v>10124.9995714928</v>
      </c>
      <c r="P8" s="63">
        <f t="shared" si="1"/>
        <v>10124.9995714928</v>
      </c>
      <c r="Q8" s="63">
        <f t="shared" si="1"/>
        <v>10124.9995714928</v>
      </c>
      <c r="R8" s="63">
        <f t="shared" si="1"/>
        <v>10124.9995714928</v>
      </c>
      <c r="S8" s="63">
        <f t="shared" si="1"/>
        <v>10124.9995714928</v>
      </c>
      <c r="T8" s="63">
        <f t="shared" si="1"/>
        <v>10124.9995714928</v>
      </c>
      <c r="U8" s="63">
        <f t="shared" si="1"/>
        <v>10124.9995714928</v>
      </c>
      <c r="V8" s="63">
        <f t="shared" si="1"/>
        <v>10124.9995714928</v>
      </c>
      <c r="W8" s="63">
        <f t="shared" si="1"/>
        <v>10124.9995714928</v>
      </c>
      <c r="X8" s="63">
        <f t="shared" si="1"/>
        <v>10124.9995714928</v>
      </c>
      <c r="Y8" s="63">
        <f t="shared" si="1"/>
        <v>10124.9995714928</v>
      </c>
      <c r="Z8" s="63">
        <f t="shared" si="1"/>
        <v>10124.9995714928</v>
      </c>
      <c r="AA8" s="63">
        <f t="shared" si="1"/>
        <v>10124.9995714928</v>
      </c>
      <c r="AB8" s="62"/>
      <c r="AC8" s="62"/>
      <c r="AD8" s="62"/>
      <c r="AE8" s="62"/>
      <c r="AF8" s="62"/>
      <c r="AG8" s="62"/>
    </row>
    <row r="9" ht="17.25" customHeight="1" spans="1:33">
      <c r="A9" s="42">
        <v>1.3</v>
      </c>
      <c r="B9" s="42"/>
      <c r="C9" s="42"/>
      <c r="D9" s="41" t="s">
        <v>1479</v>
      </c>
      <c r="E9" s="46">
        <f>E7</f>
        <v>266447.357144546</v>
      </c>
      <c r="F9" s="47"/>
      <c r="G9" s="63"/>
      <c r="H9" s="64">
        <f>H7-H8</f>
        <v>256322.357573054</v>
      </c>
      <c r="I9" s="63">
        <f t="shared" ref="I9:AG9" si="2">I7-I8</f>
        <v>246197.358001561</v>
      </c>
      <c r="J9" s="63">
        <f t="shared" si="2"/>
        <v>236072.358430068</v>
      </c>
      <c r="K9" s="63">
        <f t="shared" si="2"/>
        <v>225947.358858575</v>
      </c>
      <c r="L9" s="63">
        <f t="shared" si="2"/>
        <v>215822.359287083</v>
      </c>
      <c r="M9" s="63">
        <f t="shared" si="2"/>
        <v>205697.35971559</v>
      </c>
      <c r="N9" s="63">
        <f t="shared" si="2"/>
        <v>195572.360144097</v>
      </c>
      <c r="O9" s="63">
        <f t="shared" si="2"/>
        <v>185447.360572604</v>
      </c>
      <c r="P9" s="63">
        <f t="shared" si="2"/>
        <v>175322.361001112</v>
      </c>
      <c r="Q9" s="63">
        <f t="shared" si="2"/>
        <v>165197.361429619</v>
      </c>
      <c r="R9" s="63">
        <f t="shared" si="2"/>
        <v>155072.361858126</v>
      </c>
      <c r="S9" s="63">
        <f t="shared" si="2"/>
        <v>144947.362286633</v>
      </c>
      <c r="T9" s="63">
        <f t="shared" si="2"/>
        <v>134822.362715141</v>
      </c>
      <c r="U9" s="63">
        <f t="shared" si="2"/>
        <v>124697.363143648</v>
      </c>
      <c r="V9" s="63">
        <f t="shared" si="2"/>
        <v>114572.363572155</v>
      </c>
      <c r="W9" s="63">
        <f t="shared" si="2"/>
        <v>104447.364000662</v>
      </c>
      <c r="X9" s="63">
        <f t="shared" si="2"/>
        <v>94322.3644291695</v>
      </c>
      <c r="Y9" s="63">
        <f t="shared" si="2"/>
        <v>84197.3648576768</v>
      </c>
      <c r="Z9" s="63">
        <f t="shared" si="2"/>
        <v>74072.365286184</v>
      </c>
      <c r="AA9" s="63">
        <f t="shared" si="2"/>
        <v>63947.3657146912</v>
      </c>
      <c r="AB9" s="63">
        <f t="shared" si="2"/>
        <v>63947.3657146912</v>
      </c>
      <c r="AC9" s="63">
        <f t="shared" si="2"/>
        <v>63947.3657146912</v>
      </c>
      <c r="AD9" s="63">
        <f t="shared" si="2"/>
        <v>63947.3657146912</v>
      </c>
      <c r="AE9" s="63">
        <f t="shared" si="2"/>
        <v>63947.3657146912</v>
      </c>
      <c r="AF9" s="63">
        <f t="shared" si="2"/>
        <v>63947.3657146912</v>
      </c>
      <c r="AG9" s="63">
        <f t="shared" si="2"/>
        <v>0</v>
      </c>
    </row>
    <row r="10" ht="17.25" customHeight="1" spans="1:33">
      <c r="A10" s="42"/>
      <c r="B10" s="42"/>
      <c r="C10" s="42"/>
      <c r="D10" s="41"/>
      <c r="E10" s="46"/>
      <c r="F10" s="47"/>
      <c r="G10" s="65"/>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row>
    <row r="11" ht="17.25" customHeight="1" spans="1:33">
      <c r="A11" s="42">
        <v>2</v>
      </c>
      <c r="B11" s="42"/>
      <c r="C11" s="42"/>
      <c r="D11" s="61" t="s">
        <v>1480</v>
      </c>
      <c r="E11" s="46"/>
      <c r="F11" s="47"/>
      <c r="G11" s="48"/>
      <c r="H11" s="48"/>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row>
    <row r="12" ht="17.25" customHeight="1" spans="1:33">
      <c r="A12" s="42">
        <v>2.1</v>
      </c>
      <c r="B12" s="42"/>
      <c r="C12" s="42"/>
      <c r="D12" s="41" t="s">
        <v>857</v>
      </c>
      <c r="E12" s="46"/>
      <c r="F12" s="49"/>
      <c r="G12" s="65"/>
      <c r="H12" s="63"/>
      <c r="I12" s="63">
        <f>E12</f>
        <v>0</v>
      </c>
      <c r="J12" s="63">
        <f t="shared" ref="J12:AA12" si="3">I14</f>
        <v>0</v>
      </c>
      <c r="K12" s="63">
        <f t="shared" si="3"/>
        <v>0</v>
      </c>
      <c r="L12" s="66">
        <f t="shared" si="3"/>
        <v>0</v>
      </c>
      <c r="M12" s="66">
        <f t="shared" si="3"/>
        <v>0</v>
      </c>
      <c r="N12" s="66">
        <f t="shared" si="3"/>
        <v>0</v>
      </c>
      <c r="O12" s="66">
        <f t="shared" si="3"/>
        <v>0</v>
      </c>
      <c r="P12" s="66">
        <f t="shared" si="3"/>
        <v>0</v>
      </c>
      <c r="Q12" s="66">
        <f t="shared" si="3"/>
        <v>0</v>
      </c>
      <c r="R12" s="66">
        <f t="shared" si="3"/>
        <v>0</v>
      </c>
      <c r="S12" s="66">
        <f t="shared" si="3"/>
        <v>0</v>
      </c>
      <c r="T12" s="66">
        <f t="shared" si="3"/>
        <v>0</v>
      </c>
      <c r="U12" s="66">
        <f t="shared" si="3"/>
        <v>0</v>
      </c>
      <c r="V12" s="66">
        <f t="shared" si="3"/>
        <v>0</v>
      </c>
      <c r="W12" s="66">
        <f t="shared" si="3"/>
        <v>0</v>
      </c>
      <c r="X12" s="66">
        <f t="shared" si="3"/>
        <v>0</v>
      </c>
      <c r="Y12" s="66">
        <f t="shared" si="3"/>
        <v>0</v>
      </c>
      <c r="Z12" s="66">
        <f t="shared" si="3"/>
        <v>0</v>
      </c>
      <c r="AA12" s="66">
        <f t="shared" si="3"/>
        <v>0</v>
      </c>
      <c r="AB12" s="66">
        <f t="shared" ref="AB12:AG12" si="4">AA14</f>
        <v>0</v>
      </c>
      <c r="AC12" s="66">
        <f t="shared" si="4"/>
        <v>0</v>
      </c>
      <c r="AD12" s="66">
        <f t="shared" si="4"/>
        <v>0</v>
      </c>
      <c r="AE12" s="66">
        <f t="shared" si="4"/>
        <v>0</v>
      </c>
      <c r="AF12" s="66">
        <f t="shared" si="4"/>
        <v>0</v>
      </c>
      <c r="AG12" s="66">
        <f t="shared" si="4"/>
        <v>0</v>
      </c>
    </row>
    <row r="13" ht="17.25" customHeight="1" spans="1:33">
      <c r="A13" s="42">
        <v>2.2</v>
      </c>
      <c r="B13" s="42"/>
      <c r="C13" s="42"/>
      <c r="D13" s="41" t="s">
        <v>1478</v>
      </c>
      <c r="E13" s="46"/>
      <c r="F13" s="47"/>
      <c r="G13" s="65"/>
      <c r="H13" s="63"/>
      <c r="I13" s="63">
        <f>E12*F12</f>
        <v>0</v>
      </c>
      <c r="J13" s="63">
        <f>I13</f>
        <v>0</v>
      </c>
      <c r="K13" s="63">
        <f>J13</f>
        <v>0</v>
      </c>
      <c r="L13" s="66">
        <f t="shared" ref="L13:V13" si="5">K13</f>
        <v>0</v>
      </c>
      <c r="M13" s="66">
        <f t="shared" si="5"/>
        <v>0</v>
      </c>
      <c r="N13" s="66">
        <f t="shared" si="5"/>
        <v>0</v>
      </c>
      <c r="O13" s="66">
        <f t="shared" si="5"/>
        <v>0</v>
      </c>
      <c r="P13" s="66">
        <f t="shared" si="5"/>
        <v>0</v>
      </c>
      <c r="Q13" s="66">
        <f t="shared" si="5"/>
        <v>0</v>
      </c>
      <c r="R13" s="66">
        <f t="shared" si="5"/>
        <v>0</v>
      </c>
      <c r="S13" s="66">
        <f t="shared" si="5"/>
        <v>0</v>
      </c>
      <c r="T13" s="66">
        <f t="shared" si="5"/>
        <v>0</v>
      </c>
      <c r="U13" s="66">
        <f t="shared" si="5"/>
        <v>0</v>
      </c>
      <c r="V13" s="66">
        <f t="shared" si="5"/>
        <v>0</v>
      </c>
      <c r="W13" s="66">
        <f>W12</f>
        <v>0</v>
      </c>
      <c r="X13" s="66"/>
      <c r="Y13" s="66"/>
      <c r="Z13" s="66"/>
      <c r="AA13" s="66"/>
      <c r="AB13" s="66"/>
      <c r="AC13" s="66"/>
      <c r="AD13" s="66"/>
      <c r="AE13" s="66"/>
      <c r="AF13" s="66"/>
      <c r="AG13" s="66"/>
    </row>
    <row r="14" ht="17.25" customHeight="1" spans="1:33">
      <c r="A14" s="42">
        <v>2.3</v>
      </c>
      <c r="B14" s="42"/>
      <c r="C14" s="42"/>
      <c r="D14" s="41" t="s">
        <v>1479</v>
      </c>
      <c r="E14" s="46">
        <f>E12</f>
        <v>0</v>
      </c>
      <c r="F14" s="47"/>
      <c r="G14" s="65"/>
      <c r="H14" s="63">
        <f t="shared" ref="H14:AA14" si="6">H12-H13</f>
        <v>0</v>
      </c>
      <c r="I14" s="63">
        <f t="shared" si="6"/>
        <v>0</v>
      </c>
      <c r="J14" s="63">
        <f t="shared" si="6"/>
        <v>0</v>
      </c>
      <c r="K14" s="63">
        <f t="shared" si="6"/>
        <v>0</v>
      </c>
      <c r="L14" s="63">
        <f t="shared" si="6"/>
        <v>0</v>
      </c>
      <c r="M14" s="63">
        <f t="shared" si="6"/>
        <v>0</v>
      </c>
      <c r="N14" s="63">
        <f t="shared" si="6"/>
        <v>0</v>
      </c>
      <c r="O14" s="63">
        <f t="shared" si="6"/>
        <v>0</v>
      </c>
      <c r="P14" s="63">
        <f t="shared" si="6"/>
        <v>0</v>
      </c>
      <c r="Q14" s="63">
        <f t="shared" si="6"/>
        <v>0</v>
      </c>
      <c r="R14" s="63">
        <f t="shared" si="6"/>
        <v>0</v>
      </c>
      <c r="S14" s="63">
        <f t="shared" si="6"/>
        <v>0</v>
      </c>
      <c r="T14" s="63">
        <f t="shared" si="6"/>
        <v>0</v>
      </c>
      <c r="U14" s="63">
        <f t="shared" si="6"/>
        <v>0</v>
      </c>
      <c r="V14" s="63">
        <f t="shared" si="6"/>
        <v>0</v>
      </c>
      <c r="W14" s="63">
        <f t="shared" si="6"/>
        <v>0</v>
      </c>
      <c r="X14" s="63">
        <f t="shared" si="6"/>
        <v>0</v>
      </c>
      <c r="Y14" s="63">
        <f t="shared" si="6"/>
        <v>0</v>
      </c>
      <c r="Z14" s="63">
        <f t="shared" si="6"/>
        <v>0</v>
      </c>
      <c r="AA14" s="63">
        <f t="shared" si="6"/>
        <v>0</v>
      </c>
      <c r="AB14" s="63">
        <f t="shared" ref="AB14:AG14" si="7">AB12-AB13</f>
        <v>0</v>
      </c>
      <c r="AC14" s="63">
        <f t="shared" si="7"/>
        <v>0</v>
      </c>
      <c r="AD14" s="63">
        <f t="shared" si="7"/>
        <v>0</v>
      </c>
      <c r="AE14" s="63">
        <f t="shared" si="7"/>
        <v>0</v>
      </c>
      <c r="AF14" s="63">
        <f t="shared" si="7"/>
        <v>0</v>
      </c>
      <c r="AG14" s="63">
        <f t="shared" si="7"/>
        <v>0</v>
      </c>
    </row>
    <row r="15" ht="17.25" customHeight="1" spans="1:33">
      <c r="A15" s="42"/>
      <c r="B15" s="42"/>
      <c r="C15" s="42"/>
      <c r="D15" s="41"/>
      <c r="E15" s="46"/>
      <c r="F15" s="47"/>
      <c r="G15" s="48"/>
      <c r="H15" s="66"/>
      <c r="I15" s="67"/>
      <c r="J15" s="67"/>
      <c r="K15" s="67"/>
      <c r="L15" s="67"/>
      <c r="M15" s="67"/>
      <c r="N15" s="67"/>
      <c r="O15" s="67"/>
      <c r="P15" s="67"/>
      <c r="Q15" s="67"/>
      <c r="R15" s="67"/>
      <c r="S15" s="67"/>
      <c r="T15" s="67"/>
      <c r="U15" s="67"/>
      <c r="V15" s="67"/>
      <c r="W15" s="67"/>
      <c r="X15" s="67"/>
      <c r="Y15" s="67"/>
      <c r="Z15" s="67"/>
      <c r="AA15" s="67"/>
      <c r="AB15" s="67"/>
      <c r="AC15" s="67"/>
      <c r="AD15" s="67"/>
      <c r="AE15" s="67"/>
      <c r="AF15" s="67"/>
      <c r="AG15" s="67"/>
    </row>
    <row r="16" ht="17.25" customHeight="1" spans="1:33">
      <c r="A16" s="42">
        <v>3</v>
      </c>
      <c r="B16" s="42"/>
      <c r="C16" s="42"/>
      <c r="D16" s="41" t="s">
        <v>1481</v>
      </c>
      <c r="E16" s="46"/>
      <c r="F16" s="47"/>
      <c r="G16" s="48"/>
      <c r="H16" s="66"/>
      <c r="I16" s="67"/>
      <c r="J16" s="67"/>
      <c r="K16" s="67"/>
      <c r="L16" s="67"/>
      <c r="M16" s="67"/>
      <c r="N16" s="67"/>
      <c r="O16" s="67"/>
      <c r="P16" s="67"/>
      <c r="Q16" s="67"/>
      <c r="R16" s="67"/>
      <c r="S16" s="67"/>
      <c r="T16" s="67"/>
      <c r="U16" s="67"/>
      <c r="V16" s="67"/>
      <c r="W16" s="67"/>
      <c r="X16" s="67"/>
      <c r="Y16" s="67"/>
      <c r="Z16" s="67"/>
      <c r="AA16" s="67"/>
      <c r="AB16" s="67"/>
      <c r="AC16" s="67"/>
      <c r="AD16" s="67"/>
      <c r="AE16" s="67"/>
      <c r="AF16" s="67"/>
      <c r="AG16" s="67"/>
    </row>
    <row r="17" ht="17.25" customHeight="1" spans="1:33">
      <c r="A17" s="42">
        <v>3.1</v>
      </c>
      <c r="B17" s="42"/>
      <c r="C17" s="42"/>
      <c r="D17" s="41" t="s">
        <v>857</v>
      </c>
      <c r="E17" s="46">
        <f>SUM(E7,E12)</f>
        <v>266447.357144546</v>
      </c>
      <c r="F17" s="46"/>
      <c r="G17" s="46">
        <f>SUM(G7)</f>
        <v>0</v>
      </c>
      <c r="H17" s="46">
        <f>SUM(H7,H12)</f>
        <v>266447.357144546</v>
      </c>
      <c r="I17" s="46">
        <f t="shared" ref="I17:S17" si="8">SUM(I7,I12)</f>
        <v>256322.357573054</v>
      </c>
      <c r="J17" s="46">
        <f t="shared" si="8"/>
        <v>246197.358001561</v>
      </c>
      <c r="K17" s="46">
        <f t="shared" si="8"/>
        <v>236072.358430068</v>
      </c>
      <c r="L17" s="46">
        <f t="shared" si="8"/>
        <v>225947.358858575</v>
      </c>
      <c r="M17" s="46">
        <f t="shared" si="8"/>
        <v>215822.359287083</v>
      </c>
      <c r="N17" s="46">
        <f t="shared" si="8"/>
        <v>205697.35971559</v>
      </c>
      <c r="O17" s="46">
        <f t="shared" si="8"/>
        <v>195572.360144097</v>
      </c>
      <c r="P17" s="46">
        <f t="shared" si="8"/>
        <v>185447.360572604</v>
      </c>
      <c r="Q17" s="46">
        <f t="shared" si="8"/>
        <v>175322.361001112</v>
      </c>
      <c r="R17" s="46">
        <f t="shared" si="8"/>
        <v>165197.361429619</v>
      </c>
      <c r="S17" s="46">
        <f t="shared" si="8"/>
        <v>155072.361858126</v>
      </c>
      <c r="T17" s="46">
        <f t="shared" ref="T17:U19" si="9">SUM(T7,T12)</f>
        <v>144947.362286633</v>
      </c>
      <c r="U17" s="46">
        <f t="shared" si="9"/>
        <v>134822.362715141</v>
      </c>
      <c r="V17" s="46">
        <f t="shared" ref="V17:W19" si="10">SUM(V7,V12)</f>
        <v>124697.363143648</v>
      </c>
      <c r="W17" s="46">
        <f t="shared" si="10"/>
        <v>114572.363572155</v>
      </c>
      <c r="X17" s="46">
        <f t="shared" ref="X17:AA19" si="11">SUM(X7)</f>
        <v>104447.364000662</v>
      </c>
      <c r="Y17" s="46">
        <f t="shared" si="11"/>
        <v>94322.3644291695</v>
      </c>
      <c r="Z17" s="46">
        <f t="shared" si="11"/>
        <v>84197.3648576768</v>
      </c>
      <c r="AA17" s="46">
        <f t="shared" si="11"/>
        <v>74072.365286184</v>
      </c>
      <c r="AB17" s="46">
        <f t="shared" ref="AB17:AG17" si="12">SUM(AB7)</f>
        <v>63947.3657146912</v>
      </c>
      <c r="AC17" s="46">
        <f t="shared" si="12"/>
        <v>63947.3657146912</v>
      </c>
      <c r="AD17" s="46">
        <f t="shared" si="12"/>
        <v>63947.3657146912</v>
      </c>
      <c r="AE17" s="46">
        <f t="shared" si="12"/>
        <v>63947.3657146912</v>
      </c>
      <c r="AF17" s="46">
        <f t="shared" si="12"/>
        <v>63947.3657146912</v>
      </c>
      <c r="AG17" s="46">
        <f t="shared" si="12"/>
        <v>0</v>
      </c>
    </row>
    <row r="18" ht="17.25" customHeight="1" spans="1:33">
      <c r="A18" s="42">
        <v>3.2</v>
      </c>
      <c r="B18" s="42"/>
      <c r="C18" s="42"/>
      <c r="D18" s="41" t="s">
        <v>1478</v>
      </c>
      <c r="E18" s="46"/>
      <c r="F18" s="46"/>
      <c r="G18" s="46">
        <f>SUM(G8)</f>
        <v>0</v>
      </c>
      <c r="H18" s="46">
        <f t="shared" ref="H18:W19" si="13">SUM(H8,H13)</f>
        <v>10124.9995714928</v>
      </c>
      <c r="I18" s="46">
        <f t="shared" si="13"/>
        <v>10124.9995714928</v>
      </c>
      <c r="J18" s="46">
        <f t="shared" si="13"/>
        <v>10124.9995714928</v>
      </c>
      <c r="K18" s="46">
        <f t="shared" si="13"/>
        <v>10124.9995714928</v>
      </c>
      <c r="L18" s="46">
        <f t="shared" si="13"/>
        <v>10124.9995714928</v>
      </c>
      <c r="M18" s="46">
        <f t="shared" si="13"/>
        <v>10124.9995714928</v>
      </c>
      <c r="N18" s="46">
        <f t="shared" si="13"/>
        <v>10124.9995714928</v>
      </c>
      <c r="O18" s="46">
        <f t="shared" si="13"/>
        <v>10124.9995714928</v>
      </c>
      <c r="P18" s="46">
        <f t="shared" si="13"/>
        <v>10124.9995714928</v>
      </c>
      <c r="Q18" s="46">
        <f t="shared" si="13"/>
        <v>10124.9995714928</v>
      </c>
      <c r="R18" s="46">
        <f t="shared" si="13"/>
        <v>10124.9995714928</v>
      </c>
      <c r="S18" s="46">
        <f t="shared" si="13"/>
        <v>10124.9995714928</v>
      </c>
      <c r="T18" s="46">
        <f t="shared" si="13"/>
        <v>10124.9995714928</v>
      </c>
      <c r="U18" s="46">
        <f t="shared" si="13"/>
        <v>10124.9995714928</v>
      </c>
      <c r="V18" s="46">
        <f t="shared" si="13"/>
        <v>10124.9995714928</v>
      </c>
      <c r="W18" s="46">
        <f t="shared" si="13"/>
        <v>10124.9995714928</v>
      </c>
      <c r="X18" s="46">
        <f>SUM(X8,X13)</f>
        <v>10124.9995714928</v>
      </c>
      <c r="Y18" s="46">
        <f>SUM(Y8,Y13)</f>
        <v>10124.9995714928</v>
      </c>
      <c r="Z18" s="46">
        <f>SUM(Z8,Z13)</f>
        <v>10124.9995714928</v>
      </c>
      <c r="AA18" s="46">
        <f>SUM(AA8,AA13)</f>
        <v>10124.9995714928</v>
      </c>
      <c r="AB18" s="46">
        <f t="shared" ref="AB18:AG18" si="14">SUM(AB8,AB13)</f>
        <v>0</v>
      </c>
      <c r="AC18" s="46">
        <f t="shared" si="14"/>
        <v>0</v>
      </c>
      <c r="AD18" s="46">
        <f t="shared" si="14"/>
        <v>0</v>
      </c>
      <c r="AE18" s="46">
        <f t="shared" si="14"/>
        <v>0</v>
      </c>
      <c r="AF18" s="46">
        <f t="shared" si="14"/>
        <v>0</v>
      </c>
      <c r="AG18" s="46">
        <f t="shared" si="14"/>
        <v>0</v>
      </c>
    </row>
    <row r="19" ht="17.25" customHeight="1" spans="1:33">
      <c r="A19" s="42">
        <v>3.3</v>
      </c>
      <c r="B19" s="42"/>
      <c r="C19" s="42"/>
      <c r="D19" s="41" t="s">
        <v>1479</v>
      </c>
      <c r="E19" s="46">
        <f>SUM(E9,E14)</f>
        <v>266447.357144546</v>
      </c>
      <c r="F19" s="46"/>
      <c r="G19" s="46">
        <f>SUM(G9)</f>
        <v>0</v>
      </c>
      <c r="H19" s="46">
        <f t="shared" si="13"/>
        <v>256322.357573054</v>
      </c>
      <c r="I19" s="46">
        <f t="shared" si="13"/>
        <v>246197.358001561</v>
      </c>
      <c r="J19" s="46">
        <f t="shared" si="13"/>
        <v>236072.358430068</v>
      </c>
      <c r="K19" s="46">
        <f t="shared" si="13"/>
        <v>225947.358858575</v>
      </c>
      <c r="L19" s="46">
        <f t="shared" si="13"/>
        <v>215822.359287083</v>
      </c>
      <c r="M19" s="46">
        <f t="shared" si="13"/>
        <v>205697.35971559</v>
      </c>
      <c r="N19" s="46">
        <f t="shared" si="13"/>
        <v>195572.360144097</v>
      </c>
      <c r="O19" s="46">
        <f t="shared" si="13"/>
        <v>185447.360572604</v>
      </c>
      <c r="P19" s="46">
        <f t="shared" si="13"/>
        <v>175322.361001112</v>
      </c>
      <c r="Q19" s="46">
        <f t="shared" si="13"/>
        <v>165197.361429619</v>
      </c>
      <c r="R19" s="46">
        <f t="shared" si="13"/>
        <v>155072.361858126</v>
      </c>
      <c r="S19" s="46">
        <f t="shared" si="13"/>
        <v>144947.362286633</v>
      </c>
      <c r="T19" s="46">
        <f t="shared" si="9"/>
        <v>134822.362715141</v>
      </c>
      <c r="U19" s="46">
        <f t="shared" si="9"/>
        <v>124697.363143648</v>
      </c>
      <c r="V19" s="46">
        <f t="shared" si="10"/>
        <v>114572.363572155</v>
      </c>
      <c r="W19" s="46">
        <f t="shared" si="10"/>
        <v>104447.364000662</v>
      </c>
      <c r="X19" s="46">
        <f t="shared" si="11"/>
        <v>94322.3644291695</v>
      </c>
      <c r="Y19" s="46">
        <f t="shared" si="11"/>
        <v>84197.3648576768</v>
      </c>
      <c r="Z19" s="46">
        <f t="shared" si="11"/>
        <v>74072.365286184</v>
      </c>
      <c r="AA19" s="46">
        <f>SUM(AA9)</f>
        <v>63947.3657146912</v>
      </c>
      <c r="AB19" s="46">
        <f t="shared" ref="AB19:AG19" si="15">SUM(AB9)</f>
        <v>63947.3657146912</v>
      </c>
      <c r="AC19" s="46">
        <f t="shared" si="15"/>
        <v>63947.3657146912</v>
      </c>
      <c r="AD19" s="46">
        <f t="shared" si="15"/>
        <v>63947.3657146912</v>
      </c>
      <c r="AE19" s="46">
        <f t="shared" si="15"/>
        <v>63947.3657146912</v>
      </c>
      <c r="AF19" s="46">
        <f t="shared" si="15"/>
        <v>63947.3657146912</v>
      </c>
      <c r="AG19" s="46">
        <f t="shared" si="15"/>
        <v>0</v>
      </c>
    </row>
    <row r="20" ht="18" customHeight="1" spans="1:33">
      <c r="A20" s="51"/>
      <c r="B20" s="51"/>
      <c r="C20" s="51"/>
      <c r="E20" s="52"/>
      <c r="F20" s="53"/>
      <c r="G20" s="54"/>
      <c r="H20" s="54"/>
      <c r="I20" s="55"/>
      <c r="J20" s="55"/>
      <c r="K20" s="55"/>
      <c r="L20" s="55"/>
      <c r="M20" s="55"/>
      <c r="N20" s="55"/>
      <c r="O20" s="55"/>
      <c r="P20" s="55"/>
      <c r="Q20" s="55"/>
    </row>
    <row r="21" ht="18" customHeight="1" spans="1:33">
      <c r="A21" s="51"/>
      <c r="B21" s="51"/>
      <c r="C21" s="51"/>
      <c r="D21" s="68" t="s">
        <v>1482</v>
      </c>
      <c r="E21" s="52"/>
      <c r="F21" s="53"/>
      <c r="G21" s="54"/>
      <c r="H21" s="54"/>
      <c r="I21" s="55"/>
      <c r="J21" s="55"/>
      <c r="K21" s="55"/>
      <c r="L21" s="55"/>
      <c r="M21" s="55"/>
      <c r="N21" s="55"/>
      <c r="O21" s="55"/>
      <c r="P21" s="55"/>
      <c r="Q21" s="55"/>
      <c r="AA21" s="69">
        <f>AA9</f>
        <v>63947.3657146912</v>
      </c>
    </row>
    <row r="22" spans="1:33">
      <c r="A22" s="51"/>
      <c r="B22" s="51"/>
      <c r="C22" s="51"/>
      <c r="D22" s="68" t="s">
        <v>1483</v>
      </c>
      <c r="E22" s="46">
        <f>SUM(H22:AG22)</f>
        <v>15693.7493358138</v>
      </c>
      <c r="F22" s="53"/>
      <c r="G22" s="54"/>
      <c r="H22" s="54">
        <f>IF(H5&lt;=ConstructPeriod+3,0,IF(H5&lt;=ConstructPeriod+6,H8*假设及结论!$B$30*0.5,H8*假设及结论!$B$30))</f>
        <v>0</v>
      </c>
      <c r="I22" s="54">
        <f>IF(I5&lt;=ConstructPeriod+3,0,IF(I5&lt;=ConstructPeriod+6,I8*假设及结论!$B$30*0.5,I8*假设及结论!$B$30))</f>
        <v>0</v>
      </c>
      <c r="J22" s="54">
        <f>IF(J5&lt;=ConstructPeriod+3,0,IF(J5&lt;=ConstructPeriod+6,J8*假设及结论!$B$30*0.5,J8*假设及结论!$B$30))</f>
        <v>0</v>
      </c>
      <c r="K22" s="54">
        <f>IF(K5&lt;=ConstructPeriod+3,0,IF(K5&lt;=ConstructPeriod+6,K8*假设及结论!$B$30*0.5,K8*假设及结论!$B$30))</f>
        <v>506.249978574638</v>
      </c>
      <c r="L22" s="54">
        <f>IF(L5&lt;=ConstructPeriod+3,0,IF(L5&lt;=ConstructPeriod+6,L8*假设及结论!$B$30*0.5,L8*假设及结论!$B$30))</f>
        <v>506.249978574638</v>
      </c>
      <c r="M22" s="54">
        <f>IF(M5&lt;=ConstructPeriod+3,0,IF(M5&lt;=ConstructPeriod+6,M8*假设及结论!$B$30*0.5,M8*假设及结论!$B$30))</f>
        <v>506.249978574638</v>
      </c>
      <c r="N22" s="54">
        <f>IF(N5&lt;=ConstructPeriod+3,0,IF(N5&lt;=ConstructPeriod+6,N8*假设及结论!$B$30*0.5,N8*假设及结论!$B$30))</f>
        <v>1012.49995714928</v>
      </c>
      <c r="O22" s="54">
        <f>IF(O5&lt;=ConstructPeriod+3,0,IF(O5&lt;=ConstructPeriod+6,O8*假设及结论!$B$30*0.5,O8*假设及结论!$B$30))</f>
        <v>1012.49995714928</v>
      </c>
      <c r="P22" s="54">
        <f>IF(P5&lt;=ConstructPeriod+3,0,IF(P5&lt;=ConstructPeriod+6,P8*假设及结论!$B$30*0.5,P8*假设及结论!$B$30))</f>
        <v>1012.49995714928</v>
      </c>
      <c r="Q22" s="54">
        <f>IF(Q5&lt;=ConstructPeriod+3,0,IF(Q5&lt;=ConstructPeriod+6,Q8*假设及结论!$B$30*0.5,Q8*假设及结论!$B$30))</f>
        <v>1012.49995714928</v>
      </c>
      <c r="R22" s="54">
        <f>IF(R5&lt;=ConstructPeriod+3,0,IF(R5&lt;=ConstructPeriod+6,R8*假设及结论!$B$30*0.5,R8*假设及结论!$B$30))</f>
        <v>1012.49995714928</v>
      </c>
      <c r="S22" s="54">
        <f>IF(S5&lt;=ConstructPeriod+3,0,IF(S5&lt;=ConstructPeriod+6,S8*假设及结论!$B$30*0.5,S8*假设及结论!$B$30))</f>
        <v>1012.49995714928</v>
      </c>
      <c r="T22" s="54">
        <f>IF(T5&lt;=ConstructPeriod+3,0,IF(T5&lt;=ConstructPeriod+6,T8*假设及结论!$B$30*0.5,T8*假设及结论!$B$30))</f>
        <v>1012.49995714928</v>
      </c>
      <c r="U22" s="54">
        <f>IF(U5&lt;=ConstructPeriod+3,0,IF(U5&lt;=ConstructPeriod+6,U8*假设及结论!$B$30*0.5,U8*假设及结论!$B$30))</f>
        <v>1012.49995714928</v>
      </c>
      <c r="V22" s="54">
        <f>IF(V5&lt;=ConstructPeriod+3,0,IF(V5&lt;=ConstructPeriod+6,V8*假设及结论!$B$30*0.5,V8*假设及结论!$B$30))</f>
        <v>1012.49995714928</v>
      </c>
      <c r="W22" s="54">
        <f>IF(W5&lt;=ConstructPeriod+3,0,IF(W5&lt;=ConstructPeriod+6,W8*假设及结论!$B$30*0.5,W8*假设及结论!$B$30))</f>
        <v>1012.49995714928</v>
      </c>
      <c r="X22" s="54">
        <f>IF(X5&lt;=ConstructPeriod+3,0,IF(X5&lt;=ConstructPeriod+6,X8*假设及结论!$B$30*0.5,X8*假设及结论!$B$30))</f>
        <v>1012.49995714928</v>
      </c>
      <c r="Y22" s="54">
        <f>IF(Y5&lt;=ConstructPeriod+3,0,IF(Y5&lt;=ConstructPeriod+6,Y8*假设及结论!$B$30*0.5,Y8*假设及结论!$B$30))</f>
        <v>1012.49995714928</v>
      </c>
      <c r="Z22" s="54">
        <f>IF(Z5&lt;=ConstructPeriod+3,0,IF(Z5&lt;=ConstructPeriod+6,Z8*假设及结论!$B$30*0.5,Z8*假设及结论!$B$30))</f>
        <v>1012.49995714928</v>
      </c>
      <c r="AA22" s="54">
        <f>IF(AA5&lt;=ConstructPeriod+3,0,IF(AA5&lt;=ConstructPeriod+6,AA8*假设及结论!$B$30*0.5,AA8*假设及结论!$B$30))</f>
        <v>1012.49995714928</v>
      </c>
      <c r="AB22" s="54">
        <f>IF(AB5&lt;=ConstructPeriod+3,0,IF(AB5&lt;=ConstructPeriod+6,AB8*假设及结论!$B$30*0.5,AB8*假设及结论!$B$30))</f>
        <v>0</v>
      </c>
      <c r="AC22" s="54">
        <f>IF(AC5&lt;=ConstructPeriod+3,0,IF(AC5&lt;=ConstructPeriod+6,AC8*假设及结论!$B$30*0.5,AC8*假设及结论!$B$30))</f>
        <v>0</v>
      </c>
      <c r="AD22" s="54">
        <f>IF(AD5&lt;=ConstructPeriod+3,0,IF(AD5&lt;=ConstructPeriod+6,AD8*假设及结论!$B$30*0.5,AD8*假设及结论!$B$30))</f>
        <v>0</v>
      </c>
      <c r="AE22" s="54">
        <f>IF(AE5&lt;=ConstructPeriod+3,0,IF(AE5&lt;=ConstructPeriod+6,AE8*假设及结论!$B$30*0.5,AE8*假设及结论!$B$30))</f>
        <v>0</v>
      </c>
      <c r="AF22" s="54">
        <f>IF(AF5&lt;=ConstructPeriod+3,0,IF(AF5&lt;=ConstructPeriod+6,AF8*假设及结论!$B$30*0.5,AF8*假设及结论!$B$30))</f>
        <v>0</v>
      </c>
      <c r="AG22" s="54">
        <f>IF(AG5&lt;=ConstructPeriod+3,0,IF(AG5&lt;=ConstructPeriod+6,AG8*假设及结论!$B$30*0.5,AG8*假设及结论!$B$30))</f>
        <v>0</v>
      </c>
    </row>
    <row r="23" s="56" customFormat="1" spans="1:33">
      <c r="A23" s="53"/>
      <c r="B23" s="53"/>
      <c r="C23" s="53"/>
      <c r="E23" s="52"/>
      <c r="F23" s="53"/>
      <c r="G23" s="54"/>
      <c r="H23" s="70"/>
      <c r="I23" s="54"/>
      <c r="J23" s="54"/>
      <c r="K23" s="54"/>
      <c r="L23" s="54"/>
      <c r="M23" s="54"/>
      <c r="N23" s="54"/>
      <c r="O23" s="54"/>
      <c r="P23" s="54"/>
      <c r="Q23" s="54"/>
    </row>
    <row r="24" spans="1:33">
      <c r="A24" s="51"/>
      <c r="B24" s="51"/>
      <c r="C24" s="51"/>
      <c r="E24" s="52"/>
      <c r="F24" s="53"/>
      <c r="G24" s="54"/>
      <c r="H24" s="54"/>
      <c r="I24" s="55"/>
      <c r="J24" s="55"/>
      <c r="K24" s="55"/>
      <c r="L24" s="55"/>
      <c r="M24" s="55"/>
      <c r="N24" s="55"/>
      <c r="O24" s="55"/>
      <c r="P24" s="55"/>
      <c r="Q24" s="55"/>
    </row>
    <row r="25" spans="1:33">
      <c r="A25" s="51"/>
      <c r="B25" s="51"/>
      <c r="C25" s="51"/>
      <c r="D25" s="71"/>
      <c r="E25" s="52"/>
      <c r="F25" s="53"/>
      <c r="G25" s="54"/>
      <c r="H25" s="54"/>
      <c r="I25" s="55"/>
      <c r="J25" s="55"/>
      <c r="K25" s="55"/>
      <c r="L25" s="55"/>
      <c r="M25" s="55"/>
      <c r="N25" s="55"/>
      <c r="O25" s="55"/>
      <c r="P25" s="55"/>
      <c r="Q25" s="55"/>
      <c r="S25" s="72"/>
    </row>
    <row r="26" spans="1:33">
      <c r="A26" s="51"/>
      <c r="B26" s="51"/>
      <c r="C26" s="51"/>
      <c r="E26" s="52"/>
      <c r="F26" s="53"/>
      <c r="G26" s="54"/>
      <c r="H26" s="54"/>
      <c r="I26" s="55"/>
      <c r="J26" s="55"/>
      <c r="K26" s="55"/>
      <c r="L26" s="55"/>
      <c r="M26" s="55"/>
      <c r="N26" s="55"/>
      <c r="O26" s="55"/>
      <c r="P26" s="55"/>
      <c r="Q26" s="55"/>
    </row>
    <row r="27" spans="1:33">
      <c r="E27" s="52"/>
      <c r="F27" s="53"/>
      <c r="G27" s="54"/>
      <c r="H27" s="54"/>
      <c r="I27" s="55"/>
      <c r="J27" s="55"/>
      <c r="K27" s="55"/>
      <c r="L27" s="55"/>
      <c r="M27" s="55"/>
      <c r="N27" s="55"/>
      <c r="O27" s="55"/>
      <c r="P27" s="55"/>
      <c r="Q27" s="55"/>
    </row>
    <row r="28" spans="1:33">
      <c r="E28" s="52"/>
      <c r="F28" s="53"/>
      <c r="G28" s="54"/>
      <c r="H28" s="54"/>
      <c r="I28" s="55"/>
      <c r="J28" s="55"/>
      <c r="K28" s="55"/>
      <c r="L28" s="55"/>
      <c r="M28" s="55"/>
      <c r="N28" s="55"/>
      <c r="O28" s="55"/>
      <c r="P28" s="55"/>
      <c r="Q28" s="55"/>
    </row>
    <row r="29" spans="1:33">
      <c r="E29" s="52"/>
      <c r="F29" s="53"/>
      <c r="G29" s="54"/>
      <c r="H29" s="54"/>
      <c r="I29" s="55"/>
      <c r="J29" s="55"/>
      <c r="K29" s="55"/>
      <c r="L29" s="55"/>
      <c r="M29" s="55"/>
      <c r="N29" s="55"/>
      <c r="O29" s="55"/>
      <c r="P29" s="55"/>
      <c r="Q29" s="55"/>
    </row>
    <row r="30" spans="1:33">
      <c r="E30" s="52"/>
      <c r="F30" s="53"/>
      <c r="G30" s="54"/>
      <c r="H30" s="54"/>
      <c r="I30" s="55"/>
      <c r="J30" s="55"/>
      <c r="K30" s="55"/>
      <c r="L30" s="55"/>
      <c r="M30" s="55"/>
      <c r="N30" s="55"/>
      <c r="O30" s="55"/>
      <c r="P30" s="55"/>
      <c r="Q30" s="55"/>
    </row>
    <row r="31" spans="1:33">
      <c r="F31" s="51"/>
      <c r="G31" s="55"/>
      <c r="H31" s="55"/>
      <c r="I31" s="55"/>
      <c r="J31" s="55"/>
      <c r="K31" s="55"/>
      <c r="L31" s="55"/>
      <c r="M31" s="55"/>
      <c r="N31" s="55"/>
      <c r="O31" s="55"/>
      <c r="P31" s="55"/>
      <c r="Q31" s="55"/>
    </row>
    <row r="32" spans="1:33">
      <c r="F32" s="51"/>
      <c r="G32" s="55"/>
      <c r="H32" s="55"/>
      <c r="I32" s="55"/>
      <c r="J32" s="55"/>
      <c r="K32" s="55"/>
      <c r="L32" s="55"/>
      <c r="M32" s="55"/>
      <c r="N32" s="55"/>
      <c r="O32" s="73"/>
      <c r="P32" s="55"/>
      <c r="Q32" s="55"/>
    </row>
    <row r="33" spans="6:17">
      <c r="F33" s="51"/>
      <c r="G33" s="55"/>
      <c r="H33" s="55"/>
      <c r="I33" s="55"/>
      <c r="J33" s="55"/>
      <c r="K33" s="55"/>
      <c r="L33" s="55"/>
      <c r="M33" s="55"/>
      <c r="N33" s="55"/>
      <c r="O33" s="55"/>
      <c r="P33" s="55"/>
      <c r="Q33" s="55"/>
    </row>
    <row r="34" spans="6:17">
      <c r="F34" s="51"/>
      <c r="G34" s="55"/>
      <c r="H34" s="55"/>
      <c r="I34" s="55"/>
      <c r="J34" s="55"/>
      <c r="K34" s="55"/>
      <c r="L34" s="55"/>
      <c r="M34" s="55"/>
      <c r="N34" s="55"/>
      <c r="O34" s="55"/>
      <c r="P34" s="55"/>
      <c r="Q34" s="55"/>
    </row>
    <row r="35" spans="6:17">
      <c r="F35" s="51"/>
      <c r="G35" s="55"/>
      <c r="H35" s="55"/>
      <c r="I35" s="55"/>
      <c r="J35" s="55"/>
      <c r="K35" s="55"/>
      <c r="L35" s="55"/>
      <c r="M35" s="55"/>
      <c r="N35" s="55"/>
      <c r="O35" s="55"/>
      <c r="P35" s="55"/>
      <c r="Q35" s="55"/>
    </row>
    <row r="36" spans="6:17">
      <c r="F36" s="51"/>
      <c r="G36" s="55"/>
      <c r="H36" s="55"/>
      <c r="I36" s="55"/>
      <c r="J36" s="55"/>
      <c r="K36" s="55"/>
      <c r="L36" s="55"/>
      <c r="M36" s="55"/>
      <c r="N36" s="55"/>
      <c r="O36" s="55"/>
      <c r="P36" s="55"/>
      <c r="Q36" s="55"/>
    </row>
    <row r="37" spans="6:17">
      <c r="F37" s="51"/>
      <c r="G37" s="55"/>
      <c r="H37" s="55"/>
      <c r="I37" s="55"/>
      <c r="J37" s="55"/>
      <c r="K37" s="55"/>
      <c r="L37" s="55"/>
      <c r="M37" s="55"/>
      <c r="N37" s="55"/>
      <c r="O37" s="55"/>
      <c r="P37" s="55"/>
      <c r="Q37" s="55"/>
    </row>
    <row r="38" spans="6:17">
      <c r="F38" s="51"/>
      <c r="G38" s="55"/>
      <c r="H38" s="55"/>
      <c r="I38" s="55"/>
      <c r="J38" s="55"/>
      <c r="K38" s="55"/>
      <c r="L38" s="55"/>
      <c r="M38" s="55"/>
      <c r="N38" s="55"/>
      <c r="O38" s="55"/>
      <c r="P38" s="55"/>
      <c r="Q38" s="55"/>
    </row>
    <row r="39" spans="6:17">
      <c r="F39" s="51"/>
      <c r="G39" s="55"/>
      <c r="H39" s="55"/>
      <c r="I39" s="55"/>
      <c r="J39" s="55"/>
      <c r="K39" s="55"/>
      <c r="L39" s="55"/>
      <c r="M39" s="55"/>
      <c r="N39" s="55"/>
      <c r="O39" s="55"/>
      <c r="P39" s="55"/>
      <c r="Q39" s="55"/>
    </row>
    <row r="40" spans="6:17">
      <c r="F40" s="51"/>
      <c r="G40" s="55"/>
      <c r="H40" s="55"/>
      <c r="I40" s="55"/>
      <c r="J40" s="55"/>
      <c r="K40" s="55"/>
      <c r="L40" s="55"/>
      <c r="M40" s="55"/>
      <c r="N40" s="55"/>
      <c r="O40" s="55"/>
      <c r="P40" s="55"/>
      <c r="Q40" s="55"/>
    </row>
    <row r="41" spans="6:17">
      <c r="F41" s="51"/>
      <c r="G41" s="55"/>
      <c r="H41" s="55"/>
      <c r="I41" s="55"/>
      <c r="J41" s="55"/>
      <c r="K41" s="55"/>
      <c r="L41" s="55"/>
      <c r="M41" s="55"/>
      <c r="N41" s="55"/>
      <c r="O41" s="55"/>
      <c r="P41" s="55"/>
      <c r="Q41" s="55"/>
    </row>
    <row r="42" spans="6:17">
      <c r="F42" s="51"/>
      <c r="G42" s="55"/>
      <c r="H42" s="55"/>
      <c r="I42" s="55"/>
      <c r="J42" s="55"/>
      <c r="K42" s="55"/>
      <c r="L42" s="55"/>
      <c r="M42" s="55"/>
      <c r="N42" s="55"/>
      <c r="O42" s="55"/>
      <c r="P42" s="55"/>
      <c r="Q42" s="55"/>
    </row>
    <row r="43" spans="6:17">
      <c r="F43" s="51"/>
      <c r="G43" s="55"/>
      <c r="H43" s="55"/>
      <c r="I43" s="55"/>
      <c r="J43" s="55"/>
      <c r="K43" s="55"/>
      <c r="L43" s="55"/>
      <c r="M43" s="55"/>
      <c r="N43" s="55"/>
      <c r="O43" s="55"/>
      <c r="P43" s="55"/>
      <c r="Q43" s="55"/>
    </row>
    <row r="44" spans="6:17">
      <c r="F44" s="51"/>
      <c r="G44" s="55"/>
      <c r="H44" s="55"/>
      <c r="I44" s="55"/>
      <c r="J44" s="55"/>
      <c r="K44" s="55"/>
      <c r="L44" s="55"/>
      <c r="M44" s="55"/>
      <c r="N44" s="55"/>
      <c r="O44" s="55"/>
      <c r="P44" s="55"/>
      <c r="Q44" s="55"/>
    </row>
  </sheetData>
  <mergeCells count="5">
    <mergeCell ref="A1:D1"/>
    <mergeCell ref="A2:AA2"/>
    <mergeCell ref="G4:AG4"/>
    <mergeCell ref="D4:D5"/>
    <mergeCell ref="E4:E5"/>
  </mergeCells>
  <printOptions horizontalCentered="1"/>
  <pageMargins left="0" right="0" top="1.14166666666667" bottom="0.984027777777778" header="0.511805555555556" footer="0.511805555555556"/>
  <pageSetup paperSize="9" orientation="portrait" blackAndWhite="1"/>
  <headerFooter alignWithMargins="0"/>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4"/>
  <sheetViews>
    <sheetView showZeros="0" zoomScale="75" zoomScaleNormal="75" workbookViewId="0">
      <selection activeCell="I44" sqref="I44"/>
    </sheetView>
  </sheetViews>
  <sheetFormatPr defaultColWidth="8.83035714285714" defaultRowHeight="17.6"/>
  <cols>
    <col min="1" max="1" width="4.83035714285714" style="25" customWidth="1"/>
    <col min="2" max="2" width="17.1607142857143" style="25" customWidth="1"/>
    <col min="3" max="3" width="11" style="26" customWidth="1"/>
    <col min="4" max="4" width="7.16071428571429" style="25" customWidth="1"/>
    <col min="5" max="6" width="8.16071428571429" style="27" customWidth="1"/>
    <col min="7" max="12" width="6.16071428571429" style="27" customWidth="1"/>
    <col min="13" max="13" width="7.5" style="27" customWidth="1"/>
    <col min="14" max="14" width="8" style="27" customWidth="1"/>
    <col min="15" max="15" width="6.16071428571429" style="27" customWidth="1"/>
    <col min="16" max="39" width="5.66071428571429" style="25" customWidth="1"/>
    <col min="40" max="16384" width="8.83035714285714" style="25"/>
  </cols>
  <sheetData>
    <row r="1" ht="18" spans="1:19">
      <c r="A1" s="28" t="s">
        <v>1484</v>
      </c>
      <c r="B1" s="29"/>
      <c r="C1" s="30"/>
      <c r="D1" s="31"/>
      <c r="E1" s="32"/>
      <c r="F1" s="32"/>
      <c r="G1" s="32"/>
      <c r="H1" s="32"/>
      <c r="I1" s="32"/>
      <c r="J1" s="32"/>
      <c r="K1" s="32"/>
      <c r="L1" s="32"/>
      <c r="M1" s="32"/>
      <c r="N1" s="32"/>
      <c r="O1" s="32"/>
    </row>
    <row r="2" ht="26" spans="1:19">
      <c r="A2" s="33" t="s">
        <v>1485</v>
      </c>
      <c r="B2" s="34"/>
      <c r="C2" s="34"/>
      <c r="D2" s="34"/>
      <c r="E2" s="34"/>
      <c r="F2" s="34"/>
      <c r="G2" s="34"/>
      <c r="H2" s="34"/>
      <c r="I2" s="34"/>
      <c r="J2" s="34"/>
      <c r="K2" s="34"/>
      <c r="L2" s="34"/>
      <c r="M2" s="34"/>
      <c r="N2" s="34"/>
      <c r="O2" s="34"/>
    </row>
    <row r="3" spans="1:19">
      <c r="A3" s="34"/>
      <c r="B3" s="35"/>
      <c r="C3" s="36"/>
      <c r="D3" s="35"/>
      <c r="E3" s="32"/>
      <c r="F3" s="32"/>
      <c r="G3" s="32"/>
      <c r="H3" s="32"/>
      <c r="I3" s="32"/>
      <c r="J3" s="32"/>
      <c r="K3" s="32"/>
      <c r="L3" s="32"/>
      <c r="M3" s="32"/>
      <c r="N3" s="32"/>
      <c r="O3" s="32"/>
      <c r="S3" s="37" t="s">
        <v>1486</v>
      </c>
    </row>
    <row r="4" ht="18" spans="1:19">
      <c r="A4" s="38" t="s">
        <v>724</v>
      </c>
      <c r="B4" s="39" t="s">
        <v>1487</v>
      </c>
      <c r="C4" s="40" t="s">
        <v>243</v>
      </c>
      <c r="D4" s="41" t="s">
        <v>1475</v>
      </c>
      <c r="E4" s="42" t="s">
        <v>1488</v>
      </c>
      <c r="F4" s="42"/>
      <c r="G4" s="42"/>
      <c r="H4" s="42"/>
      <c r="I4" s="42"/>
      <c r="J4" s="42"/>
      <c r="K4" s="42"/>
      <c r="L4" s="42"/>
      <c r="M4" s="42"/>
      <c r="N4" s="42"/>
      <c r="O4" s="42"/>
      <c r="P4" s="42"/>
      <c r="Q4" s="42"/>
      <c r="R4" s="42"/>
      <c r="S4" s="42"/>
    </row>
    <row r="5" spans="1:19">
      <c r="A5" s="43" t="s">
        <v>727</v>
      </c>
      <c r="B5" s="44" t="s">
        <v>1489</v>
      </c>
      <c r="C5" s="40"/>
      <c r="D5" s="42" t="s">
        <v>1476</v>
      </c>
      <c r="E5" s="45">
        <v>1</v>
      </c>
      <c r="F5" s="45">
        <v>2</v>
      </c>
      <c r="G5" s="45">
        <v>3</v>
      </c>
      <c r="H5" s="45">
        <v>4</v>
      </c>
      <c r="I5" s="45">
        <v>5</v>
      </c>
      <c r="J5" s="45">
        <v>6</v>
      </c>
      <c r="K5" s="45">
        <v>7</v>
      </c>
      <c r="L5" s="45">
        <v>8</v>
      </c>
      <c r="M5" s="45">
        <v>9</v>
      </c>
      <c r="N5" s="45">
        <v>10</v>
      </c>
      <c r="O5" s="45">
        <v>11</v>
      </c>
      <c r="P5" s="45">
        <v>12</v>
      </c>
      <c r="Q5" s="45">
        <v>13</v>
      </c>
      <c r="R5" s="45">
        <v>14</v>
      </c>
      <c r="S5" s="45">
        <v>15</v>
      </c>
    </row>
    <row r="6" spans="1:19">
      <c r="A6" s="42">
        <v>1</v>
      </c>
      <c r="B6" s="41" t="s">
        <v>1490</v>
      </c>
      <c r="C6" s="46"/>
      <c r="D6" s="47"/>
      <c r="E6" s="48"/>
      <c r="F6" s="48"/>
      <c r="G6" s="45"/>
      <c r="H6" s="45"/>
      <c r="I6" s="45"/>
      <c r="J6" s="45"/>
      <c r="K6" s="45"/>
      <c r="L6" s="45"/>
      <c r="M6" s="45"/>
      <c r="N6" s="45"/>
      <c r="O6" s="45"/>
      <c r="P6" s="45"/>
      <c r="Q6" s="45"/>
      <c r="R6" s="45"/>
      <c r="S6" s="45"/>
    </row>
    <row r="7" spans="1:19">
      <c r="A7" s="42">
        <v>1.1</v>
      </c>
      <c r="B7" s="41" t="s">
        <v>857</v>
      </c>
      <c r="C7" s="46"/>
      <c r="D7" s="49">
        <v>0.1</v>
      </c>
      <c r="E7" s="48"/>
      <c r="F7" s="48">
        <f>C7</f>
        <v>0</v>
      </c>
      <c r="G7" s="48">
        <f t="shared" ref="G7:S7" si="0">F9</f>
        <v>0</v>
      </c>
      <c r="H7" s="48">
        <f t="shared" si="0"/>
        <v>0</v>
      </c>
      <c r="I7" s="48">
        <f t="shared" si="0"/>
        <v>0</v>
      </c>
      <c r="J7" s="48">
        <f t="shared" si="0"/>
        <v>0</v>
      </c>
      <c r="K7" s="48">
        <f t="shared" si="0"/>
        <v>0</v>
      </c>
      <c r="L7" s="48">
        <f t="shared" si="0"/>
        <v>0</v>
      </c>
      <c r="M7" s="48">
        <f t="shared" si="0"/>
        <v>0</v>
      </c>
      <c r="N7" s="48">
        <f t="shared" si="0"/>
        <v>0</v>
      </c>
      <c r="O7" s="48">
        <f t="shared" si="0"/>
        <v>0</v>
      </c>
      <c r="P7" s="48">
        <f t="shared" si="0"/>
        <v>0</v>
      </c>
      <c r="Q7" s="48">
        <f t="shared" si="0"/>
        <v>0</v>
      </c>
      <c r="R7" s="48">
        <f t="shared" si="0"/>
        <v>0</v>
      </c>
      <c r="S7" s="48">
        <f t="shared" si="0"/>
        <v>0</v>
      </c>
    </row>
    <row r="8" spans="1:19">
      <c r="A8" s="42">
        <v>1.2</v>
      </c>
      <c r="B8" s="41" t="s">
        <v>1491</v>
      </c>
      <c r="C8" s="46"/>
      <c r="D8" s="47"/>
      <c r="E8" s="48"/>
      <c r="F8" s="48">
        <f>C7*D7</f>
        <v>0</v>
      </c>
      <c r="G8" s="48">
        <f t="shared" ref="G8:S8" si="1">F8</f>
        <v>0</v>
      </c>
      <c r="H8" s="48">
        <f t="shared" si="1"/>
        <v>0</v>
      </c>
      <c r="I8" s="48">
        <f t="shared" si="1"/>
        <v>0</v>
      </c>
      <c r="J8" s="48">
        <f t="shared" si="1"/>
        <v>0</v>
      </c>
      <c r="K8" s="48">
        <f t="shared" si="1"/>
        <v>0</v>
      </c>
      <c r="L8" s="48">
        <f t="shared" si="1"/>
        <v>0</v>
      </c>
      <c r="M8" s="48">
        <f t="shared" si="1"/>
        <v>0</v>
      </c>
      <c r="N8" s="48">
        <f t="shared" si="1"/>
        <v>0</v>
      </c>
      <c r="O8" s="48">
        <f t="shared" si="1"/>
        <v>0</v>
      </c>
      <c r="P8" s="48">
        <f t="shared" si="1"/>
        <v>0</v>
      </c>
      <c r="Q8" s="48">
        <f t="shared" si="1"/>
        <v>0</v>
      </c>
      <c r="R8" s="48">
        <f t="shared" si="1"/>
        <v>0</v>
      </c>
      <c r="S8" s="48">
        <f t="shared" si="1"/>
        <v>0</v>
      </c>
    </row>
    <row r="9" spans="1:19">
      <c r="A9" s="42">
        <v>1.3</v>
      </c>
      <c r="B9" s="41" t="s">
        <v>1479</v>
      </c>
      <c r="C9" s="46"/>
      <c r="D9" s="47"/>
      <c r="E9" s="48"/>
      <c r="F9" s="50">
        <f t="shared" ref="F9:S9" si="2">F7-F8</f>
        <v>0</v>
      </c>
      <c r="G9" s="48">
        <f t="shared" si="2"/>
        <v>0</v>
      </c>
      <c r="H9" s="48">
        <f t="shared" si="2"/>
        <v>0</v>
      </c>
      <c r="I9" s="48">
        <f t="shared" si="2"/>
        <v>0</v>
      </c>
      <c r="J9" s="48">
        <f t="shared" si="2"/>
        <v>0</v>
      </c>
      <c r="K9" s="48">
        <f t="shared" si="2"/>
        <v>0</v>
      </c>
      <c r="L9" s="48">
        <f t="shared" si="2"/>
        <v>0</v>
      </c>
      <c r="M9" s="48">
        <f t="shared" si="2"/>
        <v>0</v>
      </c>
      <c r="N9" s="48">
        <f t="shared" si="2"/>
        <v>0</v>
      </c>
      <c r="O9" s="48">
        <f t="shared" si="2"/>
        <v>0</v>
      </c>
      <c r="P9" s="48">
        <f t="shared" si="2"/>
        <v>0</v>
      </c>
      <c r="Q9" s="48">
        <f t="shared" si="2"/>
        <v>0</v>
      </c>
      <c r="R9" s="48">
        <f t="shared" si="2"/>
        <v>0</v>
      </c>
      <c r="S9" s="48">
        <f t="shared" si="2"/>
        <v>0</v>
      </c>
    </row>
    <row r="10" spans="1:19">
      <c r="A10" s="42"/>
      <c r="B10" s="41"/>
      <c r="C10" s="46"/>
      <c r="D10" s="47"/>
      <c r="E10" s="48"/>
      <c r="F10" s="48"/>
      <c r="G10" s="45"/>
      <c r="H10" s="45"/>
      <c r="I10" s="45"/>
      <c r="J10" s="45"/>
      <c r="K10" s="45"/>
      <c r="L10" s="45"/>
      <c r="M10" s="45"/>
      <c r="N10" s="45"/>
      <c r="O10" s="45"/>
      <c r="P10" s="45"/>
      <c r="Q10" s="45"/>
      <c r="R10" s="45"/>
      <c r="S10" s="45"/>
    </row>
    <row r="11" spans="1:19">
      <c r="A11" s="42">
        <v>2</v>
      </c>
      <c r="B11" s="41" t="s">
        <v>1492</v>
      </c>
      <c r="C11" s="46"/>
      <c r="D11" s="49"/>
      <c r="E11" s="48"/>
      <c r="F11" s="48"/>
      <c r="G11" s="45"/>
      <c r="H11" s="45"/>
      <c r="I11" s="45"/>
      <c r="J11" s="45"/>
      <c r="K11" s="45"/>
      <c r="L11" s="45"/>
      <c r="M11" s="45"/>
      <c r="N11" s="45"/>
      <c r="O11" s="45"/>
      <c r="P11" s="45"/>
      <c r="Q11" s="45"/>
      <c r="R11" s="45"/>
      <c r="S11" s="45"/>
    </row>
    <row r="12" spans="1:19">
      <c r="A12" s="42">
        <v>2.1</v>
      </c>
      <c r="B12" s="41" t="s">
        <v>857</v>
      </c>
      <c r="C12" s="46"/>
      <c r="D12" s="49">
        <v>0.1</v>
      </c>
      <c r="E12" s="48"/>
      <c r="F12" s="48">
        <f>C12</f>
        <v>0</v>
      </c>
      <c r="G12" s="48">
        <f t="shared" ref="G12:S12" si="3">F14</f>
        <v>0</v>
      </c>
      <c r="H12" s="48">
        <f t="shared" si="3"/>
        <v>0</v>
      </c>
      <c r="I12" s="48">
        <f t="shared" si="3"/>
        <v>0</v>
      </c>
      <c r="J12" s="48">
        <f t="shared" si="3"/>
        <v>0</v>
      </c>
      <c r="K12" s="48">
        <f t="shared" si="3"/>
        <v>0</v>
      </c>
      <c r="L12" s="48">
        <f t="shared" si="3"/>
        <v>0</v>
      </c>
      <c r="M12" s="48">
        <f t="shared" si="3"/>
        <v>0</v>
      </c>
      <c r="N12" s="48">
        <f t="shared" si="3"/>
        <v>0</v>
      </c>
      <c r="O12" s="48">
        <f t="shared" si="3"/>
        <v>0</v>
      </c>
      <c r="P12" s="48">
        <f t="shared" si="3"/>
        <v>0</v>
      </c>
      <c r="Q12" s="48">
        <f t="shared" si="3"/>
        <v>0</v>
      </c>
      <c r="R12" s="48">
        <f t="shared" si="3"/>
        <v>0</v>
      </c>
      <c r="S12" s="48">
        <f t="shared" si="3"/>
        <v>0</v>
      </c>
    </row>
    <row r="13" spans="1:19">
      <c r="A13" s="42">
        <v>2.2</v>
      </c>
      <c r="B13" s="41" t="s">
        <v>1491</v>
      </c>
      <c r="C13" s="46"/>
      <c r="D13" s="47"/>
      <c r="E13" s="48"/>
      <c r="F13" s="48">
        <f>C12*D12</f>
        <v>0</v>
      </c>
      <c r="G13" s="48">
        <f>D12*C12</f>
        <v>0</v>
      </c>
      <c r="H13" s="48">
        <f t="shared" ref="H13:N13" si="4">G13</f>
        <v>0</v>
      </c>
      <c r="I13" s="48">
        <f t="shared" si="4"/>
        <v>0</v>
      </c>
      <c r="J13" s="48">
        <f t="shared" si="4"/>
        <v>0</v>
      </c>
      <c r="K13" s="48">
        <f t="shared" si="4"/>
        <v>0</v>
      </c>
      <c r="L13" s="48">
        <f t="shared" si="4"/>
        <v>0</v>
      </c>
      <c r="M13" s="48">
        <f t="shared" si="4"/>
        <v>0</v>
      </c>
      <c r="N13" s="48">
        <f t="shared" si="4"/>
        <v>0</v>
      </c>
      <c r="O13" s="48">
        <f>O12</f>
        <v>0</v>
      </c>
      <c r="P13" s="48"/>
      <c r="Q13" s="48"/>
      <c r="R13" s="48"/>
      <c r="S13" s="48"/>
    </row>
    <row r="14" spans="1:19">
      <c r="A14" s="42">
        <v>2.3</v>
      </c>
      <c r="B14" s="41" t="s">
        <v>1479</v>
      </c>
      <c r="C14" s="46">
        <f>C12</f>
        <v>0</v>
      </c>
      <c r="D14" s="47"/>
      <c r="E14" s="48"/>
      <c r="F14" s="48">
        <f t="shared" ref="F14:S14" si="5">F12-F13</f>
        <v>0</v>
      </c>
      <c r="G14" s="48">
        <f t="shared" si="5"/>
        <v>0</v>
      </c>
      <c r="H14" s="48">
        <f t="shared" si="5"/>
        <v>0</v>
      </c>
      <c r="I14" s="48">
        <f t="shared" si="5"/>
        <v>0</v>
      </c>
      <c r="J14" s="48">
        <f t="shared" si="5"/>
        <v>0</v>
      </c>
      <c r="K14" s="48">
        <f t="shared" si="5"/>
        <v>0</v>
      </c>
      <c r="L14" s="48">
        <f t="shared" si="5"/>
        <v>0</v>
      </c>
      <c r="M14" s="48">
        <f t="shared" si="5"/>
        <v>0</v>
      </c>
      <c r="N14" s="48">
        <f t="shared" si="5"/>
        <v>0</v>
      </c>
      <c r="O14" s="48">
        <f t="shared" si="5"/>
        <v>0</v>
      </c>
      <c r="P14" s="48">
        <f t="shared" si="5"/>
        <v>0</v>
      </c>
      <c r="Q14" s="48">
        <f t="shared" si="5"/>
        <v>0</v>
      </c>
      <c r="R14" s="48">
        <f t="shared" si="5"/>
        <v>0</v>
      </c>
      <c r="S14" s="48">
        <f t="shared" si="5"/>
        <v>0</v>
      </c>
    </row>
    <row r="15" spans="1:19">
      <c r="A15" s="42"/>
      <c r="B15" s="41"/>
      <c r="C15" s="46"/>
      <c r="D15" s="47"/>
      <c r="E15" s="48"/>
      <c r="F15" s="48"/>
      <c r="G15" s="45"/>
      <c r="H15" s="45"/>
      <c r="I15" s="45"/>
      <c r="J15" s="45"/>
      <c r="K15" s="45"/>
      <c r="L15" s="45"/>
      <c r="M15" s="45"/>
      <c r="N15" s="45"/>
      <c r="O15" s="45"/>
      <c r="P15" s="45"/>
      <c r="Q15" s="45"/>
      <c r="R15" s="45"/>
      <c r="S15" s="45"/>
    </row>
    <row r="16" spans="1:19">
      <c r="A16" s="42"/>
      <c r="B16" s="41"/>
      <c r="C16" s="46"/>
      <c r="D16" s="47"/>
      <c r="E16" s="48"/>
      <c r="F16" s="48"/>
      <c r="G16" s="45"/>
      <c r="H16" s="45"/>
      <c r="I16" s="45"/>
      <c r="J16" s="45"/>
      <c r="K16" s="45"/>
      <c r="L16" s="45"/>
      <c r="M16" s="45"/>
      <c r="N16" s="45"/>
      <c r="O16" s="45"/>
      <c r="P16" s="45"/>
      <c r="Q16" s="45"/>
      <c r="R16" s="45"/>
      <c r="S16" s="45"/>
    </row>
    <row r="17" spans="1:19">
      <c r="A17" s="42">
        <v>3</v>
      </c>
      <c r="B17" s="41" t="s">
        <v>243</v>
      </c>
      <c r="C17" s="46"/>
      <c r="D17" s="47"/>
      <c r="E17" s="48"/>
      <c r="F17" s="48"/>
      <c r="G17" s="45"/>
      <c r="H17" s="45"/>
      <c r="I17" s="45"/>
      <c r="J17" s="45"/>
      <c r="K17" s="45"/>
      <c r="L17" s="45"/>
      <c r="M17" s="45"/>
      <c r="N17" s="45"/>
      <c r="O17" s="45"/>
      <c r="P17" s="45"/>
      <c r="Q17" s="45"/>
      <c r="R17" s="45"/>
      <c r="S17" s="45"/>
    </row>
    <row r="18" spans="1:19">
      <c r="A18" s="42">
        <v>3.1</v>
      </c>
      <c r="B18" s="41" t="s">
        <v>857</v>
      </c>
      <c r="C18" s="46">
        <f>SUM(C7,C12)</f>
        <v>0</v>
      </c>
      <c r="D18" s="46"/>
      <c r="E18" s="46">
        <f>SUM(E7,E12)</f>
        <v>0</v>
      </c>
      <c r="F18" s="46">
        <f t="shared" ref="F18:G20" si="6">SUM(F7,F12)</f>
        <v>0</v>
      </c>
      <c r="G18" s="46">
        <f t="shared" si="6"/>
        <v>0</v>
      </c>
      <c r="H18" s="46">
        <f t="shared" ref="H18:O20" si="7">SUM(H7,H12)</f>
        <v>0</v>
      </c>
      <c r="I18" s="46">
        <f t="shared" si="7"/>
        <v>0</v>
      </c>
      <c r="J18" s="46">
        <f t="shared" si="7"/>
        <v>0</v>
      </c>
      <c r="K18" s="46">
        <f t="shared" si="7"/>
        <v>0</v>
      </c>
      <c r="L18" s="46">
        <f t="shared" si="7"/>
        <v>0</v>
      </c>
      <c r="M18" s="46">
        <f t="shared" si="7"/>
        <v>0</v>
      </c>
      <c r="N18" s="46">
        <f t="shared" si="7"/>
        <v>0</v>
      </c>
      <c r="O18" s="46">
        <f t="shared" si="7"/>
        <v>0</v>
      </c>
      <c r="P18" s="46">
        <f t="shared" ref="P18:S20" si="8">SUM(P7,P12)</f>
        <v>0</v>
      </c>
      <c r="Q18" s="46">
        <f t="shared" si="8"/>
        <v>0</v>
      </c>
      <c r="R18" s="46">
        <f t="shared" si="8"/>
        <v>0</v>
      </c>
      <c r="S18" s="46">
        <f t="shared" si="8"/>
        <v>0</v>
      </c>
    </row>
    <row r="19" spans="1:19">
      <c r="A19" s="42">
        <v>4.2</v>
      </c>
      <c r="B19" s="41" t="s">
        <v>1491</v>
      </c>
      <c r="C19" s="46"/>
      <c r="D19" s="46"/>
      <c r="E19" s="46">
        <f>SUM(E8,E13)</f>
        <v>0</v>
      </c>
      <c r="F19" s="46">
        <f t="shared" si="6"/>
        <v>0</v>
      </c>
      <c r="G19" s="46">
        <f t="shared" si="6"/>
        <v>0</v>
      </c>
      <c r="H19" s="46">
        <f t="shared" si="7"/>
        <v>0</v>
      </c>
      <c r="I19" s="46">
        <f t="shared" si="7"/>
        <v>0</v>
      </c>
      <c r="J19" s="46">
        <f t="shared" si="7"/>
        <v>0</v>
      </c>
      <c r="K19" s="46">
        <f t="shared" si="7"/>
        <v>0</v>
      </c>
      <c r="L19" s="46">
        <f t="shared" si="7"/>
        <v>0</v>
      </c>
      <c r="M19" s="46">
        <f t="shared" si="7"/>
        <v>0</v>
      </c>
      <c r="N19" s="46">
        <f t="shared" si="7"/>
        <v>0</v>
      </c>
      <c r="O19" s="46">
        <f t="shared" si="7"/>
        <v>0</v>
      </c>
      <c r="P19" s="46">
        <f t="shared" si="8"/>
        <v>0</v>
      </c>
      <c r="Q19" s="46">
        <f t="shared" si="8"/>
        <v>0</v>
      </c>
      <c r="R19" s="46">
        <f t="shared" si="8"/>
        <v>0</v>
      </c>
      <c r="S19" s="46">
        <f t="shared" si="8"/>
        <v>0</v>
      </c>
    </row>
    <row r="20" spans="1:19">
      <c r="A20" s="42"/>
      <c r="B20" s="41" t="s">
        <v>1479</v>
      </c>
      <c r="C20" s="46">
        <f>C18</f>
        <v>0</v>
      </c>
      <c r="D20" s="46"/>
      <c r="E20" s="46">
        <f>SUM(E9,E14)</f>
        <v>0</v>
      </c>
      <c r="F20" s="46">
        <f t="shared" si="6"/>
        <v>0</v>
      </c>
      <c r="G20" s="46">
        <f t="shared" si="6"/>
        <v>0</v>
      </c>
      <c r="H20" s="46">
        <f t="shared" si="7"/>
        <v>0</v>
      </c>
      <c r="I20" s="46">
        <f t="shared" si="7"/>
        <v>0</v>
      </c>
      <c r="J20" s="46">
        <f t="shared" si="7"/>
        <v>0</v>
      </c>
      <c r="K20" s="46">
        <f t="shared" si="7"/>
        <v>0</v>
      </c>
      <c r="L20" s="46">
        <f t="shared" si="7"/>
        <v>0</v>
      </c>
      <c r="M20" s="46">
        <f t="shared" si="7"/>
        <v>0</v>
      </c>
      <c r="N20" s="46">
        <f t="shared" si="7"/>
        <v>0</v>
      </c>
      <c r="O20" s="46">
        <f t="shared" si="7"/>
        <v>0</v>
      </c>
      <c r="P20" s="46">
        <f t="shared" si="8"/>
        <v>0</v>
      </c>
      <c r="Q20" s="46">
        <f t="shared" si="8"/>
        <v>0</v>
      </c>
      <c r="R20" s="46">
        <f t="shared" si="8"/>
        <v>0</v>
      </c>
      <c r="S20" s="46">
        <f t="shared" si="8"/>
        <v>0</v>
      </c>
    </row>
    <row r="21" spans="1:19">
      <c r="A21" s="51"/>
      <c r="C21" s="52"/>
      <c r="D21" s="53"/>
      <c r="E21" s="54"/>
      <c r="F21" s="54"/>
      <c r="G21" s="55"/>
      <c r="H21" s="55"/>
      <c r="I21" s="55"/>
      <c r="J21" s="55"/>
      <c r="K21" s="55"/>
      <c r="L21" s="55"/>
      <c r="M21" s="55"/>
      <c r="N21" s="55"/>
      <c r="O21" s="55"/>
    </row>
    <row r="22" spans="1:19">
      <c r="A22" s="51"/>
      <c r="C22" s="52"/>
      <c r="D22" s="53"/>
      <c r="E22" s="54"/>
      <c r="F22" s="54"/>
      <c r="G22" s="55"/>
      <c r="H22" s="55"/>
      <c r="I22" s="55"/>
      <c r="J22" s="55"/>
      <c r="K22" s="55"/>
      <c r="L22" s="55"/>
      <c r="M22" s="55"/>
      <c r="N22" s="55"/>
      <c r="O22" s="55"/>
    </row>
    <row r="23" spans="1:19">
      <c r="A23" s="51"/>
      <c r="C23" s="25"/>
      <c r="E23" s="25"/>
      <c r="F23" s="25"/>
      <c r="G23" s="25"/>
      <c r="H23" s="25"/>
      <c r="I23" s="25"/>
      <c r="J23" s="25"/>
      <c r="K23" s="25"/>
      <c r="L23" s="25"/>
      <c r="M23" s="25"/>
      <c r="N23" s="25"/>
      <c r="O23" s="25"/>
    </row>
    <row r="24" spans="1:19">
      <c r="A24" s="51"/>
      <c r="C24" s="25"/>
      <c r="E24" s="25"/>
      <c r="F24" s="25"/>
      <c r="G24" s="25"/>
      <c r="H24" s="25"/>
      <c r="I24" s="25"/>
      <c r="J24" s="25"/>
      <c r="K24" s="25"/>
      <c r="L24" s="25"/>
      <c r="M24" s="25"/>
      <c r="N24" s="25"/>
      <c r="O24" s="25"/>
    </row>
    <row r="25" spans="1:19">
      <c r="A25" s="51"/>
      <c r="C25" s="25"/>
      <c r="E25" s="25"/>
      <c r="F25" s="25"/>
      <c r="G25" s="25"/>
      <c r="H25" s="25"/>
      <c r="I25" s="25"/>
      <c r="J25" s="25"/>
      <c r="K25" s="25"/>
      <c r="L25" s="25"/>
      <c r="M25" s="25"/>
      <c r="N25" s="25"/>
      <c r="O25" s="25"/>
    </row>
    <row r="26" spans="1:19">
      <c r="A26" s="51"/>
      <c r="C26" s="25"/>
      <c r="E26" s="25"/>
      <c r="F26" s="25"/>
      <c r="G26" s="25"/>
      <c r="H26" s="25"/>
      <c r="I26" s="25"/>
      <c r="J26" s="25"/>
      <c r="K26" s="25"/>
      <c r="L26" s="25"/>
      <c r="M26" s="25"/>
      <c r="N26" s="25"/>
      <c r="O26" s="25"/>
    </row>
    <row r="27" spans="1:19">
      <c r="C27" s="25"/>
      <c r="E27" s="25"/>
      <c r="F27" s="25"/>
      <c r="G27" s="25"/>
      <c r="H27" s="25"/>
      <c r="I27" s="25"/>
      <c r="J27" s="25"/>
      <c r="K27" s="25"/>
      <c r="L27" s="25"/>
      <c r="M27" s="25"/>
      <c r="N27" s="25"/>
      <c r="O27" s="25"/>
    </row>
    <row r="28" spans="1:19">
      <c r="C28" s="25"/>
      <c r="E28" s="25"/>
      <c r="F28" s="25"/>
      <c r="G28" s="25"/>
      <c r="H28" s="25"/>
      <c r="I28" s="25"/>
      <c r="J28" s="25"/>
      <c r="K28" s="25"/>
      <c r="L28" s="25"/>
      <c r="M28" s="25"/>
      <c r="N28" s="25"/>
      <c r="O28" s="25"/>
    </row>
    <row r="29" spans="1:19">
      <c r="C29" s="25"/>
      <c r="E29" s="25"/>
      <c r="F29" s="25"/>
      <c r="G29" s="25"/>
      <c r="H29" s="25"/>
      <c r="I29" s="25"/>
      <c r="J29" s="25"/>
      <c r="K29" s="25"/>
      <c r="L29" s="25"/>
      <c r="M29" s="25"/>
      <c r="N29" s="25"/>
      <c r="O29" s="25"/>
    </row>
    <row r="30" spans="1:19">
      <c r="C30" s="25"/>
      <c r="E30" s="25"/>
      <c r="F30" s="25"/>
      <c r="G30" s="25"/>
      <c r="H30" s="25"/>
      <c r="I30" s="25"/>
      <c r="J30" s="25"/>
      <c r="K30" s="25"/>
      <c r="L30" s="25"/>
      <c r="M30" s="25"/>
      <c r="N30" s="25"/>
      <c r="O30" s="25"/>
    </row>
    <row r="31" spans="1:19">
      <c r="C31" s="25"/>
      <c r="E31" s="25"/>
      <c r="F31" s="25"/>
      <c r="G31" s="25"/>
      <c r="H31" s="25"/>
      <c r="I31" s="25"/>
      <c r="J31" s="25"/>
      <c r="K31" s="25"/>
      <c r="L31" s="25"/>
      <c r="M31" s="25"/>
      <c r="N31" s="25"/>
      <c r="O31" s="25"/>
    </row>
    <row r="32" spans="1:19">
      <c r="C32" s="25"/>
      <c r="E32" s="25"/>
      <c r="F32" s="25"/>
      <c r="G32" s="25"/>
      <c r="H32" s="25"/>
      <c r="I32" s="25"/>
      <c r="J32" s="25"/>
      <c r="K32" s="25"/>
      <c r="L32" s="25"/>
      <c r="M32" s="25"/>
      <c r="N32" s="25"/>
      <c r="O32" s="25"/>
    </row>
    <row r="33" spans="3:15">
      <c r="C33" s="25"/>
      <c r="E33" s="25"/>
      <c r="F33" s="25"/>
      <c r="G33" s="25"/>
      <c r="H33" s="25"/>
      <c r="I33" s="25"/>
      <c r="J33" s="25"/>
      <c r="K33" s="25"/>
      <c r="L33" s="25"/>
      <c r="M33" s="25"/>
      <c r="N33" s="25"/>
      <c r="O33" s="25"/>
    </row>
    <row r="34" spans="3:15">
      <c r="C34" s="25"/>
      <c r="E34" s="25"/>
      <c r="F34" s="25"/>
      <c r="G34" s="25"/>
      <c r="H34" s="25"/>
      <c r="I34" s="25"/>
      <c r="J34" s="25"/>
      <c r="K34" s="25"/>
      <c r="L34" s="25"/>
      <c r="M34" s="25"/>
      <c r="N34" s="25"/>
      <c r="O34" s="25"/>
    </row>
    <row r="35" spans="3:15">
      <c r="C35" s="25"/>
      <c r="E35" s="25"/>
      <c r="F35" s="25"/>
      <c r="G35" s="25"/>
      <c r="H35" s="25"/>
      <c r="I35" s="25"/>
      <c r="J35" s="25"/>
      <c r="K35" s="25"/>
      <c r="L35" s="25"/>
      <c r="M35" s="25"/>
      <c r="N35" s="25"/>
      <c r="O35" s="25"/>
    </row>
    <row r="36" spans="3:15">
      <c r="C36" s="25"/>
      <c r="E36" s="25"/>
      <c r="F36" s="25"/>
      <c r="G36" s="25"/>
      <c r="H36" s="25"/>
      <c r="I36" s="25"/>
      <c r="J36" s="25"/>
      <c r="K36" s="25"/>
      <c r="L36" s="25"/>
      <c r="M36" s="25"/>
      <c r="N36" s="25"/>
      <c r="O36" s="25"/>
    </row>
    <row r="37" spans="3:15">
      <c r="C37" s="25"/>
      <c r="E37" s="25"/>
      <c r="F37" s="25"/>
      <c r="G37" s="25"/>
      <c r="H37" s="25"/>
      <c r="I37" s="25"/>
      <c r="J37" s="25"/>
      <c r="K37" s="25"/>
      <c r="L37" s="25"/>
      <c r="M37" s="25"/>
      <c r="N37" s="25"/>
      <c r="O37" s="25"/>
    </row>
    <row r="38" spans="3:15">
      <c r="C38" s="25"/>
      <c r="E38" s="25"/>
      <c r="F38" s="25"/>
      <c r="G38" s="25"/>
      <c r="H38" s="25"/>
      <c r="I38" s="25"/>
      <c r="J38" s="25"/>
      <c r="K38" s="25"/>
      <c r="L38" s="25"/>
      <c r="M38" s="25"/>
      <c r="N38" s="25"/>
      <c r="O38" s="25"/>
    </row>
    <row r="39" spans="3:15">
      <c r="D39" s="51"/>
      <c r="E39" s="55"/>
      <c r="F39" s="55"/>
      <c r="G39" s="55"/>
      <c r="H39" s="55"/>
      <c r="I39" s="55"/>
      <c r="J39" s="55"/>
      <c r="K39" s="55"/>
      <c r="L39" s="55"/>
      <c r="M39" s="55"/>
      <c r="N39" s="55"/>
      <c r="O39" s="55"/>
    </row>
    <row r="40" spans="3:15">
      <c r="D40" s="51"/>
      <c r="E40" s="55"/>
      <c r="F40" s="55"/>
      <c r="G40" s="55"/>
      <c r="H40" s="55"/>
      <c r="I40" s="55"/>
      <c r="J40" s="55"/>
      <c r="K40" s="55"/>
      <c r="L40" s="55"/>
      <c r="M40" s="55"/>
      <c r="N40" s="55"/>
      <c r="O40" s="55"/>
    </row>
    <row r="41" spans="3:15">
      <c r="D41" s="51"/>
      <c r="E41" s="55"/>
      <c r="F41" s="55"/>
      <c r="G41" s="55"/>
      <c r="H41" s="55"/>
      <c r="I41" s="55"/>
      <c r="J41" s="55"/>
      <c r="K41" s="55"/>
      <c r="L41" s="55"/>
      <c r="M41" s="55"/>
      <c r="N41" s="55"/>
      <c r="O41" s="55"/>
    </row>
    <row r="42" spans="3:15">
      <c r="D42" s="51"/>
      <c r="E42" s="55"/>
      <c r="F42" s="55"/>
      <c r="G42" s="55"/>
      <c r="H42" s="55"/>
      <c r="I42" s="55"/>
      <c r="J42" s="55"/>
      <c r="K42" s="55"/>
      <c r="L42" s="55"/>
      <c r="M42" s="55"/>
      <c r="N42" s="55"/>
      <c r="O42" s="55"/>
    </row>
    <row r="43" spans="3:15">
      <c r="D43" s="51"/>
      <c r="E43" s="55"/>
      <c r="F43" s="55"/>
      <c r="G43" s="55"/>
      <c r="H43" s="55"/>
      <c r="I43" s="55"/>
      <c r="J43" s="55"/>
      <c r="K43" s="55"/>
      <c r="L43" s="55"/>
      <c r="M43" s="55"/>
      <c r="N43" s="55"/>
      <c r="O43" s="55"/>
    </row>
    <row r="44" spans="3:15">
      <c r="D44" s="51"/>
      <c r="E44" s="55"/>
      <c r="F44" s="55"/>
      <c r="G44" s="55"/>
      <c r="H44" s="55"/>
      <c r="I44" s="55"/>
      <c r="J44" s="55"/>
      <c r="K44" s="55"/>
      <c r="L44" s="55"/>
      <c r="M44" s="55"/>
      <c r="N44" s="55"/>
      <c r="O44" s="55"/>
    </row>
  </sheetData>
  <mergeCells count="4">
    <mergeCell ref="A1:B1"/>
    <mergeCell ref="A2:O2"/>
    <mergeCell ref="E4:S4"/>
    <mergeCell ref="C4:C5"/>
  </mergeCells>
  <pageMargins left="0.888888888888889" right="0.75" top="1.50902777777778" bottom="1" header="0.5" footer="0.5"/>
  <pageSetup paperSize="9" orientation="landscape"/>
  <headerFooter alignWithMargins="0"/>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F37"/>
  <sheetViews>
    <sheetView zoomScale="98" zoomScaleNormal="98" topLeftCell="A17" workbookViewId="0">
      <selection activeCell="I44" sqref="I44"/>
    </sheetView>
  </sheetViews>
  <sheetFormatPr defaultColWidth="11" defaultRowHeight="17.6" outlineLevelCol="5"/>
  <cols>
    <col min="1" max="1" width="8" customWidth="1"/>
    <col min="3" max="3" width="22.8303571428571" customWidth="1"/>
    <col min="4" max="4" width="14.1607142857143" customWidth="1"/>
    <col min="6" max="6" width="45.1607142857143" customWidth="1"/>
  </cols>
  <sheetData>
    <row r="2" ht="20.4" spans="2:6">
      <c r="B2" s="10" t="s">
        <v>61</v>
      </c>
      <c r="C2" s="11" t="s">
        <v>657</v>
      </c>
      <c r="D2" s="12" t="s">
        <v>1493</v>
      </c>
      <c r="E2" s="11" t="s">
        <v>4</v>
      </c>
      <c r="F2" s="11" t="s">
        <v>64</v>
      </c>
    </row>
    <row r="3" ht="20.4" spans="2:6">
      <c r="B3" s="10">
        <v>1</v>
      </c>
      <c r="C3" s="11" t="s">
        <v>1494</v>
      </c>
      <c r="D3" s="12">
        <v>2300</v>
      </c>
      <c r="E3" s="11" t="s">
        <v>1495</v>
      </c>
      <c r="F3" s="11"/>
    </row>
    <row r="4" ht="41" spans="2:6">
      <c r="B4" s="10">
        <v>2</v>
      </c>
      <c r="C4" s="11" t="s">
        <v>1496</v>
      </c>
      <c r="D4" s="12">
        <v>42635</v>
      </c>
      <c r="E4" s="11" t="s">
        <v>419</v>
      </c>
      <c r="F4" s="13" t="s">
        <v>1497</v>
      </c>
    </row>
    <row r="5" ht="20.4" spans="2:6">
      <c r="B5" s="10">
        <v>3</v>
      </c>
      <c r="C5" s="11" t="s">
        <v>1498</v>
      </c>
      <c r="D5" s="12">
        <v>0.04</v>
      </c>
      <c r="E5" s="11" t="s">
        <v>1499</v>
      </c>
      <c r="F5" s="11"/>
    </row>
    <row r="6" ht="20.4" spans="2:6">
      <c r="B6" s="10">
        <v>4</v>
      </c>
      <c r="C6" s="11" t="s">
        <v>1500</v>
      </c>
      <c r="D6" s="12">
        <v>150</v>
      </c>
      <c r="E6" s="11" t="s">
        <v>1501</v>
      </c>
      <c r="F6" s="11"/>
    </row>
    <row r="7" ht="20.4" spans="2:6">
      <c r="B7" s="10">
        <v>5</v>
      </c>
      <c r="C7" s="11" t="s">
        <v>1502</v>
      </c>
      <c r="D7" s="12">
        <v>900</v>
      </c>
      <c r="E7" s="11" t="s">
        <v>1503</v>
      </c>
      <c r="F7" s="11"/>
    </row>
    <row r="8" ht="20.4" spans="2:6">
      <c r="B8" s="10">
        <v>6</v>
      </c>
      <c r="C8" s="11" t="s">
        <v>1147</v>
      </c>
      <c r="D8" s="12">
        <v>0.6</v>
      </c>
      <c r="E8" s="11" t="s">
        <v>1499</v>
      </c>
      <c r="F8" s="11" t="s">
        <v>1504</v>
      </c>
    </row>
    <row r="9" ht="20.4" spans="2:6">
      <c r="B9" s="10">
        <v>7</v>
      </c>
      <c r="C9" s="11" t="s">
        <v>1505</v>
      </c>
      <c r="D9" s="12">
        <v>0.3693</v>
      </c>
      <c r="E9" s="11" t="s">
        <v>1499</v>
      </c>
      <c r="F9" s="14" t="s">
        <v>1504</v>
      </c>
    </row>
    <row r="10" ht="20.4" spans="2:6">
      <c r="B10" s="10">
        <v>8</v>
      </c>
      <c r="C10" s="11" t="s">
        <v>1506</v>
      </c>
      <c r="D10" s="12">
        <v>0</v>
      </c>
      <c r="E10" s="11"/>
      <c r="F10" s="11"/>
    </row>
    <row r="11" ht="20.4" spans="2:6">
      <c r="B11" s="10">
        <v>9</v>
      </c>
      <c r="C11" s="11" t="s">
        <v>709</v>
      </c>
      <c r="D11" s="12">
        <v>17</v>
      </c>
      <c r="E11" s="11" t="s">
        <v>674</v>
      </c>
      <c r="F11" s="11" t="s">
        <v>1504</v>
      </c>
    </row>
    <row r="12" ht="20.4" spans="2:6">
      <c r="B12" s="10">
        <v>10</v>
      </c>
      <c r="C12" s="11" t="s">
        <v>1507</v>
      </c>
      <c r="D12" s="12" t="s">
        <v>1508</v>
      </c>
      <c r="E12" s="11"/>
      <c r="F12" s="11" t="s">
        <v>1504</v>
      </c>
    </row>
    <row r="13" ht="20.4" spans="2:6">
      <c r="B13" s="10">
        <v>11</v>
      </c>
      <c r="C13" s="11" t="s">
        <v>1509</v>
      </c>
      <c r="D13" s="12">
        <v>50</v>
      </c>
      <c r="E13" s="11" t="s">
        <v>674</v>
      </c>
      <c r="F13" s="11" t="s">
        <v>1504</v>
      </c>
    </row>
    <row r="14" ht="20.4" spans="2:6">
      <c r="B14" s="10">
        <v>12</v>
      </c>
      <c r="C14" s="11" t="s">
        <v>1510</v>
      </c>
      <c r="D14" s="12">
        <v>5</v>
      </c>
      <c r="E14" s="11" t="s">
        <v>674</v>
      </c>
      <c r="F14" s="11" t="s">
        <v>1504</v>
      </c>
    </row>
    <row r="15" ht="20.4" spans="2:6">
      <c r="B15" s="10">
        <v>13</v>
      </c>
      <c r="C15" s="11" t="s">
        <v>715</v>
      </c>
      <c r="D15" s="12">
        <v>5</v>
      </c>
      <c r="E15" s="11" t="s">
        <v>674</v>
      </c>
      <c r="F15" s="11" t="s">
        <v>1504</v>
      </c>
    </row>
    <row r="16" ht="20.4" spans="2:6">
      <c r="B16" s="10">
        <v>14</v>
      </c>
      <c r="C16" s="11" t="s">
        <v>1511</v>
      </c>
      <c r="D16" s="12">
        <v>3</v>
      </c>
      <c r="E16" s="11" t="s">
        <v>674</v>
      </c>
      <c r="F16" s="11" t="s">
        <v>1504</v>
      </c>
    </row>
    <row r="17" ht="20.4" spans="2:6">
      <c r="B17" s="10">
        <v>15</v>
      </c>
      <c r="C17" s="11" t="s">
        <v>1512</v>
      </c>
      <c r="D17" s="12">
        <v>0.01</v>
      </c>
      <c r="E17" s="11" t="s">
        <v>674</v>
      </c>
      <c r="F17" s="11" t="s">
        <v>1504</v>
      </c>
    </row>
    <row r="18" ht="20.4" spans="2:6">
      <c r="B18" s="10">
        <v>16</v>
      </c>
      <c r="C18" s="11" t="s">
        <v>711</v>
      </c>
      <c r="D18" s="12">
        <v>25</v>
      </c>
      <c r="E18" s="11" t="s">
        <v>674</v>
      </c>
      <c r="F18" s="11" t="s">
        <v>1504</v>
      </c>
    </row>
    <row r="19" ht="20.4" spans="2:6">
      <c r="B19" s="10">
        <v>17</v>
      </c>
      <c r="C19" s="11" t="s">
        <v>1513</v>
      </c>
      <c r="D19" s="12" t="s">
        <v>1514</v>
      </c>
      <c r="E19" s="11"/>
      <c r="F19" s="11" t="s">
        <v>1504</v>
      </c>
    </row>
    <row r="20" ht="20.4" spans="2:6">
      <c r="B20" s="10">
        <v>18</v>
      </c>
      <c r="C20" s="11" t="s">
        <v>1515</v>
      </c>
      <c r="D20" s="12">
        <v>12</v>
      </c>
      <c r="E20" s="11" t="s">
        <v>664</v>
      </c>
      <c r="F20" s="11"/>
    </row>
    <row r="21" ht="20.4" spans="2:6">
      <c r="B21" s="10">
        <v>19</v>
      </c>
      <c r="C21" s="11" t="s">
        <v>1516</v>
      </c>
      <c r="D21" s="12">
        <v>5</v>
      </c>
      <c r="E21" s="11" t="s">
        <v>674</v>
      </c>
      <c r="F21" s="11"/>
    </row>
    <row r="22" ht="20.4" spans="2:6">
      <c r="B22" s="10">
        <v>20</v>
      </c>
      <c r="C22" s="11" t="s">
        <v>1517</v>
      </c>
      <c r="D22" s="12">
        <v>15</v>
      </c>
      <c r="E22" s="11" t="s">
        <v>471</v>
      </c>
      <c r="F22" s="11"/>
    </row>
    <row r="23" ht="20.4" spans="2:6">
      <c r="B23" s="10">
        <v>21</v>
      </c>
      <c r="C23" s="11" t="s">
        <v>1518</v>
      </c>
      <c r="D23" s="12" t="s">
        <v>1519</v>
      </c>
      <c r="E23" s="11"/>
      <c r="F23" s="11"/>
    </row>
    <row r="24" ht="20.4" spans="2:6">
      <c r="B24" s="10">
        <v>22</v>
      </c>
      <c r="C24" s="11" t="s">
        <v>673</v>
      </c>
      <c r="D24" s="12">
        <v>20</v>
      </c>
      <c r="E24" s="11" t="s">
        <v>674</v>
      </c>
      <c r="F24" s="11"/>
    </row>
    <row r="25" ht="20.4" spans="2:6">
      <c r="B25" s="10">
        <v>23</v>
      </c>
      <c r="C25" s="12" t="s">
        <v>1520</v>
      </c>
      <c r="D25" s="12">
        <v>10</v>
      </c>
      <c r="E25" s="11" t="s">
        <v>674</v>
      </c>
      <c r="F25" s="11" t="s">
        <v>1521</v>
      </c>
    </row>
    <row r="26" ht="20.4" spans="2:6">
      <c r="B26" s="10">
        <v>24</v>
      </c>
      <c r="C26" s="11" t="s">
        <v>1522</v>
      </c>
      <c r="D26" s="12">
        <v>4</v>
      </c>
      <c r="E26" s="11" t="s">
        <v>1523</v>
      </c>
      <c r="F26" s="11"/>
    </row>
    <row r="27" ht="20.4" spans="2:6">
      <c r="B27" s="10">
        <v>25</v>
      </c>
      <c r="C27" s="11" t="s">
        <v>1524</v>
      </c>
      <c r="D27" s="12">
        <v>2</v>
      </c>
      <c r="E27" s="11" t="s">
        <v>1523</v>
      </c>
      <c r="F27" s="11"/>
    </row>
    <row r="28" ht="20.4" spans="2:6">
      <c r="B28" s="10">
        <v>26</v>
      </c>
      <c r="C28" s="11" t="s">
        <v>1525</v>
      </c>
      <c r="D28" s="12">
        <v>20</v>
      </c>
      <c r="E28" s="11" t="s">
        <v>471</v>
      </c>
      <c r="F28" s="11"/>
    </row>
    <row r="29" ht="20.4" spans="2:6">
      <c r="B29" s="10">
        <v>27</v>
      </c>
      <c r="C29" s="11" t="s">
        <v>1526</v>
      </c>
      <c r="D29" s="12" t="s">
        <v>1527</v>
      </c>
      <c r="E29" s="11"/>
      <c r="F29" s="11" t="s">
        <v>1504</v>
      </c>
    </row>
    <row r="30" ht="20.4" spans="2:6">
      <c r="B30" s="10">
        <v>28</v>
      </c>
      <c r="C30" s="11" t="s">
        <v>1528</v>
      </c>
      <c r="D30" s="12">
        <v>4</v>
      </c>
      <c r="E30" s="11" t="s">
        <v>674</v>
      </c>
      <c r="F30" s="11"/>
    </row>
    <row r="31" ht="20.4" spans="2:6">
      <c r="B31" s="10">
        <v>29</v>
      </c>
      <c r="C31" s="11" t="s">
        <v>1529</v>
      </c>
      <c r="D31" s="12">
        <v>20</v>
      </c>
      <c r="E31" s="11" t="s">
        <v>471</v>
      </c>
      <c r="F31" s="11"/>
    </row>
    <row r="32" ht="20.4" spans="2:6">
      <c r="B32" s="10">
        <v>30</v>
      </c>
      <c r="C32" s="11" t="s">
        <v>1530</v>
      </c>
      <c r="D32" s="12">
        <v>3</v>
      </c>
      <c r="E32" s="11" t="s">
        <v>674</v>
      </c>
      <c r="F32" s="11" t="s">
        <v>1531</v>
      </c>
    </row>
    <row r="33" ht="20.4" spans="2:6">
      <c r="B33" s="10">
        <v>31</v>
      </c>
      <c r="C33" s="11" t="s">
        <v>1532</v>
      </c>
      <c r="D33" s="12">
        <v>7.83</v>
      </c>
      <c r="E33" s="11" t="s">
        <v>674</v>
      </c>
      <c r="F33" s="11" t="s">
        <v>1533</v>
      </c>
    </row>
    <row r="34" ht="20.4" spans="2:6">
      <c r="B34" s="15"/>
      <c r="C34" s="15"/>
      <c r="D34" s="15"/>
      <c r="E34" s="15"/>
      <c r="F34" s="15"/>
    </row>
    <row r="35" ht="19" customHeight="1" spans="2:6">
      <c r="B35" s="16" t="s">
        <v>1534</v>
      </c>
      <c r="C35" s="17"/>
      <c r="D35" s="17"/>
      <c r="E35" s="17"/>
      <c r="F35" s="18"/>
    </row>
    <row r="36" spans="2:6">
      <c r="B36" s="19"/>
      <c r="C36" s="20"/>
      <c r="D36" s="20"/>
      <c r="E36" s="20"/>
      <c r="F36" s="21"/>
    </row>
    <row r="37" spans="2:6">
      <c r="B37" s="22"/>
      <c r="C37" s="23"/>
      <c r="D37" s="23"/>
      <c r="E37" s="23"/>
      <c r="F37" s="24"/>
    </row>
  </sheetData>
  <mergeCells count="1">
    <mergeCell ref="B35:F37"/>
  </mergeCells>
  <pageMargins left="0.699305555555556" right="0.699305555555556" top="0.75" bottom="0.75" header="0.3" footer="0.3"/>
  <pageSetup paperSize="9" orientation="portrait" horizontalDpi="1200" verticalDpi="1200"/>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F39"/>
  <sheetViews>
    <sheetView workbookViewId="0">
      <selection activeCell="I44" sqref="I44"/>
    </sheetView>
  </sheetViews>
  <sheetFormatPr defaultColWidth="9.14285714285714" defaultRowHeight="17.6" outlineLevelCol="5"/>
  <cols>
    <col min="2" max="2" width="9.14285714285714" style="1"/>
    <col min="3" max="3" width="19.4910714285714" customWidth="1"/>
    <col min="4" max="5" width="14.7321428571429" customWidth="1"/>
    <col min="6" max="6" width="16.8035714285714" customWidth="1"/>
  </cols>
  <sheetData>
    <row r="2" spans="2:6">
      <c r="B2" s="2" t="s">
        <v>1535</v>
      </c>
      <c r="C2" s="2"/>
      <c r="D2" s="2"/>
      <c r="E2" s="2"/>
      <c r="F2" s="2"/>
    </row>
    <row r="3" spans="2:6">
      <c r="B3" s="2" t="s">
        <v>61</v>
      </c>
      <c r="C3" s="3" t="s">
        <v>1536</v>
      </c>
      <c r="D3" s="3" t="s">
        <v>1537</v>
      </c>
      <c r="E3" s="3" t="s">
        <v>1538</v>
      </c>
      <c r="F3" s="3" t="s">
        <v>1539</v>
      </c>
    </row>
    <row r="4" ht="17" customHeight="1" spans="2:6">
      <c r="B4" s="4" t="s">
        <v>1540</v>
      </c>
      <c r="C4" s="5"/>
      <c r="D4" s="3">
        <v>10</v>
      </c>
      <c r="E4" s="3">
        <v>10</v>
      </c>
      <c r="F4" s="3">
        <v>10</v>
      </c>
    </row>
    <row r="5" spans="2:6">
      <c r="B5" s="6" t="s">
        <v>1541</v>
      </c>
      <c r="C5" s="7"/>
      <c r="D5" s="7"/>
      <c r="E5" s="7"/>
      <c r="F5" s="8"/>
    </row>
    <row r="6" spans="2:6">
      <c r="B6" s="2">
        <v>1</v>
      </c>
      <c r="C6" s="5" t="s">
        <v>1542</v>
      </c>
      <c r="D6" s="9" t="s">
        <v>1543</v>
      </c>
      <c r="E6" s="3">
        <v>10</v>
      </c>
      <c r="F6" s="3">
        <v>10</v>
      </c>
    </row>
    <row r="7" spans="2:6">
      <c r="B7" s="2">
        <v>2</v>
      </c>
      <c r="C7" s="5" t="s">
        <v>1544</v>
      </c>
      <c r="D7" s="3">
        <v>15</v>
      </c>
      <c r="E7" s="3">
        <v>10</v>
      </c>
      <c r="F7" s="3">
        <v>15</v>
      </c>
    </row>
    <row r="8" spans="2:6">
      <c r="B8" s="2">
        <v>3</v>
      </c>
      <c r="C8" s="5" t="s">
        <v>1545</v>
      </c>
      <c r="D8" s="3">
        <v>15</v>
      </c>
      <c r="E8" s="3">
        <v>15</v>
      </c>
      <c r="F8" s="3" t="s">
        <v>1546</v>
      </c>
    </row>
    <row r="9" spans="2:6">
      <c r="B9" s="2">
        <v>4</v>
      </c>
      <c r="C9" s="5" t="s">
        <v>1547</v>
      </c>
      <c r="D9" s="3">
        <v>10</v>
      </c>
      <c r="E9" s="3">
        <v>10</v>
      </c>
      <c r="F9" s="3">
        <v>10</v>
      </c>
    </row>
    <row r="10" spans="2:6">
      <c r="B10" s="2">
        <v>5</v>
      </c>
      <c r="C10" s="5" t="s">
        <v>1548</v>
      </c>
      <c r="D10" s="9" t="s">
        <v>1549</v>
      </c>
      <c r="E10" s="3">
        <v>10</v>
      </c>
      <c r="F10" s="3">
        <v>5</v>
      </c>
    </row>
    <row r="11" spans="2:6">
      <c r="B11" s="2">
        <v>6</v>
      </c>
      <c r="C11" s="5" t="s">
        <v>1550</v>
      </c>
      <c r="D11" s="9" t="s">
        <v>1543</v>
      </c>
      <c r="E11" s="3">
        <v>10</v>
      </c>
      <c r="F11" s="3">
        <v>5</v>
      </c>
    </row>
    <row r="12" spans="2:6">
      <c r="B12" s="2">
        <v>7</v>
      </c>
      <c r="C12" s="5" t="s">
        <v>1551</v>
      </c>
      <c r="D12" s="9" t="s">
        <v>1549</v>
      </c>
      <c r="E12" s="3">
        <v>5</v>
      </c>
      <c r="F12" s="3">
        <v>10</v>
      </c>
    </row>
    <row r="13" spans="2:6">
      <c r="B13" s="2">
        <v>8</v>
      </c>
      <c r="C13" s="5" t="s">
        <v>1552</v>
      </c>
      <c r="D13" s="9" t="s">
        <v>1543</v>
      </c>
      <c r="E13" s="3">
        <v>5</v>
      </c>
      <c r="F13" s="3">
        <v>10</v>
      </c>
    </row>
    <row r="14" spans="2:6">
      <c r="B14" s="2">
        <v>9</v>
      </c>
      <c r="C14" s="5" t="s">
        <v>1553</v>
      </c>
      <c r="D14" s="9" t="s">
        <v>1549</v>
      </c>
      <c r="E14" s="3" t="s">
        <v>1554</v>
      </c>
      <c r="F14" s="3">
        <v>5</v>
      </c>
    </row>
    <row r="15" spans="2:6">
      <c r="B15" s="2">
        <v>10</v>
      </c>
      <c r="C15" s="5" t="s">
        <v>1555</v>
      </c>
      <c r="D15" s="3">
        <v>10</v>
      </c>
      <c r="E15" s="3">
        <v>10</v>
      </c>
      <c r="F15" s="3">
        <v>15</v>
      </c>
    </row>
    <row r="16" spans="2:6">
      <c r="B16" s="2">
        <v>11</v>
      </c>
      <c r="C16" s="5" t="s">
        <v>1556</v>
      </c>
      <c r="D16" s="9" t="s">
        <v>1549</v>
      </c>
      <c r="E16" s="3">
        <v>10</v>
      </c>
      <c r="F16" s="3">
        <v>10</v>
      </c>
    </row>
    <row r="17" spans="2:6">
      <c r="B17" s="2">
        <v>12</v>
      </c>
      <c r="C17" s="5" t="s">
        <v>1557</v>
      </c>
      <c r="D17" s="3">
        <v>10</v>
      </c>
      <c r="E17" s="3">
        <v>10</v>
      </c>
      <c r="F17" s="3">
        <v>10</v>
      </c>
    </row>
    <row r="18" spans="2:6">
      <c r="B18" s="2">
        <v>13</v>
      </c>
      <c r="C18" s="5" t="s">
        <v>1558</v>
      </c>
      <c r="D18" s="9" t="s">
        <v>1549</v>
      </c>
      <c r="E18" s="3" t="s">
        <v>1546</v>
      </c>
      <c r="F18" s="9" t="s">
        <v>1549</v>
      </c>
    </row>
    <row r="19" spans="2:6">
      <c r="B19" s="2">
        <v>14</v>
      </c>
      <c r="C19" s="5" t="s">
        <v>1559</v>
      </c>
      <c r="D19" s="3">
        <v>0</v>
      </c>
      <c r="E19" s="3">
        <v>0</v>
      </c>
      <c r="F19" s="3">
        <v>10</v>
      </c>
    </row>
    <row r="20" spans="2:6">
      <c r="B20" s="2">
        <v>15</v>
      </c>
      <c r="C20" s="5" t="s">
        <v>1560</v>
      </c>
      <c r="D20" s="9" t="s">
        <v>1549</v>
      </c>
      <c r="E20" s="9" t="s">
        <v>1549</v>
      </c>
      <c r="F20" s="3">
        <v>5</v>
      </c>
    </row>
    <row r="21" spans="2:6">
      <c r="B21" s="2">
        <v>16</v>
      </c>
      <c r="C21" s="5" t="s">
        <v>1561</v>
      </c>
      <c r="D21" s="9" t="s">
        <v>1543</v>
      </c>
      <c r="E21" s="3">
        <v>10</v>
      </c>
      <c r="F21" s="3">
        <v>10</v>
      </c>
    </row>
    <row r="22" spans="2:6">
      <c r="B22" s="2">
        <v>17</v>
      </c>
      <c r="C22" s="5" t="s">
        <v>1562</v>
      </c>
      <c r="D22" s="9" t="s">
        <v>1549</v>
      </c>
      <c r="E22" s="3">
        <v>10</v>
      </c>
      <c r="F22" s="3">
        <v>10</v>
      </c>
    </row>
    <row r="23" spans="2:6">
      <c r="B23" s="2">
        <v>18</v>
      </c>
      <c r="C23" s="5" t="s">
        <v>1563</v>
      </c>
      <c r="D23" s="9" t="s">
        <v>1543</v>
      </c>
      <c r="E23" s="3">
        <v>10</v>
      </c>
      <c r="F23" s="3">
        <v>10</v>
      </c>
    </row>
    <row r="24" spans="2:6">
      <c r="B24" s="2">
        <v>19</v>
      </c>
      <c r="C24" s="5" t="s">
        <v>1564</v>
      </c>
      <c r="D24" s="3">
        <v>10</v>
      </c>
      <c r="E24" s="3">
        <v>10</v>
      </c>
      <c r="F24" s="3">
        <v>10</v>
      </c>
    </row>
    <row r="25" spans="2:6">
      <c r="B25" s="2">
        <v>20</v>
      </c>
      <c r="C25" s="5" t="s">
        <v>1565</v>
      </c>
      <c r="D25" s="3">
        <v>10</v>
      </c>
      <c r="E25" s="3">
        <v>10</v>
      </c>
      <c r="F25" s="3">
        <v>10</v>
      </c>
    </row>
    <row r="26" spans="2:6">
      <c r="B26" s="2">
        <v>21</v>
      </c>
      <c r="C26" s="5" t="s">
        <v>1566</v>
      </c>
      <c r="D26" s="3">
        <v>10</v>
      </c>
      <c r="E26" s="3">
        <v>10</v>
      </c>
      <c r="F26" s="3">
        <v>10</v>
      </c>
    </row>
    <row r="27" spans="2:6">
      <c r="B27" s="2">
        <v>22</v>
      </c>
      <c r="C27" s="5" t="s">
        <v>1567</v>
      </c>
      <c r="D27" s="3">
        <v>0</v>
      </c>
      <c r="E27" s="3">
        <v>0</v>
      </c>
      <c r="F27" s="3">
        <v>5</v>
      </c>
    </row>
    <row r="28" spans="2:6">
      <c r="B28" s="2">
        <v>23</v>
      </c>
      <c r="C28" s="5" t="s">
        <v>1568</v>
      </c>
      <c r="D28" s="3">
        <v>10</v>
      </c>
      <c r="E28" s="3">
        <v>10</v>
      </c>
      <c r="F28" s="3">
        <v>10</v>
      </c>
    </row>
    <row r="29" spans="2:6">
      <c r="B29" s="2">
        <v>24</v>
      </c>
      <c r="C29" s="5" t="s">
        <v>1569</v>
      </c>
      <c r="D29" s="3">
        <v>0</v>
      </c>
      <c r="E29" s="3">
        <v>0</v>
      </c>
      <c r="F29" s="3">
        <v>7.5</v>
      </c>
    </row>
    <row r="30" spans="2:6">
      <c r="B30" s="2">
        <v>25</v>
      </c>
      <c r="C30" s="5" t="s">
        <v>1570</v>
      </c>
      <c r="D30" s="9" t="s">
        <v>1543</v>
      </c>
      <c r="E30" s="3">
        <v>5</v>
      </c>
      <c r="F30" s="3">
        <v>5</v>
      </c>
    </row>
    <row r="31" spans="2:6">
      <c r="B31" s="2">
        <v>26</v>
      </c>
      <c r="C31" s="5" t="s">
        <v>1571</v>
      </c>
      <c r="D31" s="9" t="s">
        <v>1543</v>
      </c>
      <c r="E31" s="3">
        <v>10</v>
      </c>
      <c r="F31" s="3">
        <v>10</v>
      </c>
    </row>
    <row r="32" spans="2:6">
      <c r="B32" s="2">
        <v>27</v>
      </c>
      <c r="C32" s="5" t="s">
        <v>1572</v>
      </c>
      <c r="D32" s="3">
        <v>10</v>
      </c>
      <c r="E32" s="3">
        <v>10</v>
      </c>
      <c r="F32" s="3">
        <v>10</v>
      </c>
    </row>
    <row r="33" spans="2:6">
      <c r="B33" s="2">
        <v>28</v>
      </c>
      <c r="C33" s="5" t="s">
        <v>1573</v>
      </c>
      <c r="D33" s="9" t="s">
        <v>1543</v>
      </c>
      <c r="E33" s="3">
        <v>10</v>
      </c>
      <c r="F33" s="3">
        <v>10</v>
      </c>
    </row>
    <row r="34" ht="20" customHeight="1" spans="2:6">
      <c r="B34" s="2">
        <v>29</v>
      </c>
      <c r="C34" s="5" t="s">
        <v>1574</v>
      </c>
      <c r="D34" s="3">
        <v>0</v>
      </c>
      <c r="E34" s="3">
        <v>0</v>
      </c>
      <c r="F34" s="3">
        <v>5</v>
      </c>
    </row>
    <row r="35" spans="2:6">
      <c r="B35" s="2">
        <v>30</v>
      </c>
      <c r="C35" s="5" t="s">
        <v>1575</v>
      </c>
      <c r="D35" s="9" t="s">
        <v>1543</v>
      </c>
      <c r="E35" s="3" t="s">
        <v>1554</v>
      </c>
      <c r="F35" s="3">
        <v>5</v>
      </c>
    </row>
    <row r="36" spans="2:6">
      <c r="B36" s="2">
        <v>31</v>
      </c>
      <c r="C36" s="5" t="s">
        <v>1576</v>
      </c>
      <c r="D36" s="3">
        <v>5</v>
      </c>
      <c r="E36" s="3">
        <v>5</v>
      </c>
      <c r="F36" s="3">
        <v>15</v>
      </c>
    </row>
    <row r="37" spans="2:6">
      <c r="B37" s="2">
        <v>32</v>
      </c>
      <c r="C37" s="5" t="s">
        <v>1577</v>
      </c>
      <c r="D37" s="3">
        <v>10</v>
      </c>
      <c r="E37" s="3">
        <v>10</v>
      </c>
      <c r="F37" s="3">
        <v>10</v>
      </c>
    </row>
    <row r="38" spans="2:6">
      <c r="B38" s="2">
        <v>33</v>
      </c>
      <c r="C38" s="5" t="s">
        <v>1578</v>
      </c>
      <c r="D38" s="9" t="s">
        <v>1549</v>
      </c>
      <c r="E38" s="3">
        <v>5</v>
      </c>
      <c r="F38" s="3">
        <v>10</v>
      </c>
    </row>
    <row r="39" spans="2:6">
      <c r="B39" s="2">
        <v>34</v>
      </c>
      <c r="C39" s="5" t="s">
        <v>1579</v>
      </c>
      <c r="D39" s="3">
        <v>10</v>
      </c>
      <c r="E39" s="3">
        <v>10</v>
      </c>
      <c r="F39" s="3">
        <v>10</v>
      </c>
    </row>
  </sheetData>
  <mergeCells count="3">
    <mergeCell ref="B2:F2"/>
    <mergeCell ref="B4:C4"/>
    <mergeCell ref="B5:F5"/>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Company>rcfs</Company>
  <Application>Microsoft Macintosh Excel</Application>
  <HeadingPairs>
    <vt:vector size="2" baseType="variant">
      <vt:variant>
        <vt:lpstr>工作表</vt:lpstr>
      </vt:variant>
      <vt:variant>
        <vt:i4>29</vt:i4>
      </vt:variant>
    </vt:vector>
  </HeadingPairs>
  <TitlesOfParts>
    <vt:vector size="29" baseType="lpstr">
      <vt:lpstr>储能投资明细</vt:lpstr>
      <vt:lpstr>Sheet2</vt:lpstr>
      <vt:lpstr>11院概算</vt:lpstr>
      <vt:lpstr>Sheet1</vt:lpstr>
      <vt:lpstr>投资构成</vt:lpstr>
      <vt:lpstr>600MW管理总包造价</vt:lpstr>
      <vt:lpstr>边界条件</vt:lpstr>
      <vt:lpstr>损益表</vt:lpstr>
      <vt:lpstr>全部投资现金流</vt:lpstr>
      <vt:lpstr>资本金现金流</vt:lpstr>
      <vt:lpstr>资产负债表</vt:lpstr>
      <vt:lpstr>总成本</vt:lpstr>
      <vt:lpstr>假设及结论</vt:lpstr>
      <vt:lpstr>WACC</vt:lpstr>
      <vt:lpstr>敏感性分析</vt:lpstr>
      <vt:lpstr>11院EPC价</vt:lpstr>
      <vt:lpstr>决策信息模版</vt:lpstr>
      <vt:lpstr>决策信息模版 (2)</vt:lpstr>
      <vt:lpstr>决策信息1</vt:lpstr>
      <vt:lpstr>决策信息2</vt:lpstr>
      <vt:lpstr>决策信息（反算）</vt:lpstr>
      <vt:lpstr>销售收入</vt:lpstr>
      <vt:lpstr>财务计划</vt:lpstr>
      <vt:lpstr>还本付息</vt:lpstr>
      <vt:lpstr>资金筹措</vt:lpstr>
      <vt:lpstr>折旧</vt:lpstr>
      <vt:lpstr>摊销</vt:lpstr>
      <vt:lpstr>假设</vt:lpstr>
      <vt:lpstr>吉尔吉斯预提税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caoguangda</dc:creator>
  <cp:lastModifiedBy>John Zhang</cp:lastModifiedBy>
  <dcterms:created xsi:type="dcterms:W3CDTF">2007-07-26T17:39:00Z</dcterms:created>
  <cp:lastPrinted>2017-02-18T01:35:00Z</cp:lastPrinted>
  <dcterms:modified xsi:type="dcterms:W3CDTF">2026-08-04T19:23:33Z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3076-12.1.26046.26046</vt:lpwstr>
  </property>
  <property fmtid="{D5CDD505-2E9C-101B-9397-08002B2CF9AE}" pid="3" name="ICV">
    <vt:lpwstr>8E70B11B672E4463D5E7716A0151F54B_43</vt:lpwstr>
  </property>
  <property fmtid="{D5CDD505-2E9C-101B-9397-08002B2CF9AE}" pid="4" name="CalculationRule">
    <vt:i4>0</vt:i4>
  </property>
</Properties>
</file>